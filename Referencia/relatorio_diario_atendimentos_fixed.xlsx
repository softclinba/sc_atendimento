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do Dia" sheetId="1" state="visible" r:id="rId2"/>
    <sheet name="Atendimentos" sheetId="2" state="visible" r:id="rId3"/>
    <sheet name="Cartões" sheetId="3" state="visible" r:id="rId4"/>
    <sheet name="Parcelas do Cartão" sheetId="4" state="visible" r:id="rId5"/>
  </sheets>
  <definedNames>
    <definedName function="false" hidden="true" localSheetId="1" name="_xlnm._FilterDatabase" vbProcedure="false">Atendimentos!$B$7:$J$19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<sst xmlns="http://schemas.openxmlformats.org/spreadsheetml/2006/main" count="240" uniqueCount="125">
  <si>
    <t xml:space="preserve">Relatório Diário de Atendimentos</t>
  </si>
  <si>
    <t xml:space="preserve">SOFT Clínica de Oftalmologia  |  Data de referência: 02/09/2026  |  Valores em Reais (R$)</t>
  </si>
  <si>
    <t xml:space="preserve">Visão consolidada do movimento do dia: indicadores gerais, recebimentos por forma de pagamento e por procedimento.</t>
  </si>
  <si>
    <t xml:space="preserve">  Indicadores do Dia</t>
  </si>
  <si>
    <t xml:space="preserve">Indicador</t>
  </si>
  <si>
    <t xml:space="preserve">Valor</t>
  </si>
  <si>
    <t xml:space="preserve">Observação</t>
  </si>
  <si>
    <t xml:space="preserve">Total de atendimentos</t>
  </si>
  <si>
    <t xml:space="preserve">Registros lançados no dia</t>
  </si>
  <si>
    <t xml:space="preserve">Faturamento total</t>
  </si>
  <si>
    <t xml:space="preserve">Soma de todos os atendimentos</t>
  </si>
  <si>
    <t xml:space="preserve">Ticket médio</t>
  </si>
  <si>
    <t xml:space="preserve">Faturamento dividido pelos atendimentos</t>
  </si>
  <si>
    <t xml:space="preserve">Maior atendimento</t>
  </si>
  <si>
    <t xml:space="preserve">Valor individual mais alto</t>
  </si>
  <si>
    <t xml:space="preserve">Menor atendimento</t>
  </si>
  <si>
    <t xml:space="preserve">Valor individual mais baixo</t>
  </si>
  <si>
    <t xml:space="preserve">Médicos em atendimento</t>
  </si>
  <si>
    <t xml:space="preserve">Profissionais com pelo menos um registro</t>
  </si>
  <si>
    <t xml:space="preserve">  Recebimentos por Forma de Pagamento</t>
  </si>
  <si>
    <t xml:space="preserve">Categoria</t>
  </si>
  <si>
    <t xml:space="preserve">Atendimentos</t>
  </si>
  <si>
    <t xml:space="preserve">Valor recebido</t>
  </si>
  <si>
    <t xml:space="preserve">% do total</t>
  </si>
  <si>
    <t xml:space="preserve">Dinheiro</t>
  </si>
  <si>
    <t xml:space="preserve">Pix</t>
  </si>
  <si>
    <t xml:space="preserve">Cartão</t>
  </si>
  <si>
    <t xml:space="preserve">Total</t>
  </si>
  <si>
    <t xml:space="preserve">  Produção por Médico</t>
  </si>
  <si>
    <t xml:space="preserve">Nedy Neves</t>
  </si>
  <si>
    <t xml:space="preserve">Marcela Souza</t>
  </si>
  <si>
    <t xml:space="preserve">Villane Dias</t>
  </si>
  <si>
    <t xml:space="preserve">Juliana</t>
  </si>
  <si>
    <t xml:space="preserve">  Recebimentos por Procedimento</t>
  </si>
  <si>
    <t xml:space="preserve">Consulta Particular</t>
  </si>
  <si>
    <t xml:space="preserve">Lente de Contato</t>
  </si>
  <si>
    <t xml:space="preserve">Teste Ortóptico</t>
  </si>
  <si>
    <t xml:space="preserve">Exames</t>
  </si>
  <si>
    <t xml:space="preserve">Outros</t>
  </si>
  <si>
    <t xml:space="preserve">Observações: (1) Cartão inclui crédito e débito, detalhado na aba Cartões. (2) O valor e o vencimento de cada parcela estão na aba Parcelas do Cartão. (3) Valores conferidos com os lançamentos da aba Atendimentos.</t>
  </si>
  <si>
    <t xml:space="preserve">Lançamentos do Dia</t>
  </si>
  <si>
    <t xml:space="preserve">SOFT Clínica de Oftalmologia  |  Data: 02/09/2026  |  12 atendimentos  |  Valores em Reais (R$)</t>
  </si>
  <si>
    <t xml:space="preserve">Detalhamento de cada atendimento: horário, paciente, médico, procedimento, forma de pagamento e valor recebido.</t>
  </si>
  <si>
    <t xml:space="preserve">  Atendimentos Registrados em 02/09/2026</t>
  </si>
  <si>
    <t xml:space="preserve">Hora</t>
  </si>
  <si>
    <t xml:space="preserve">Paciente</t>
  </si>
  <si>
    <t xml:space="preserve">Médico</t>
  </si>
  <si>
    <t xml:space="preserve">Procedimento</t>
  </si>
  <si>
    <t xml:space="preserve">Forma de pagamento</t>
  </si>
  <si>
    <t xml:space="preserve">Bandeira</t>
  </si>
  <si>
    <t xml:space="preserve">Crédito/Débito</t>
  </si>
  <si>
    <t xml:space="preserve">Parcelas</t>
  </si>
  <si>
    <t xml:space="preserve">Valor (R$)</t>
  </si>
  <si>
    <t xml:space="preserve">08:15</t>
  </si>
  <si>
    <t xml:space="preserve">Mariana Alves de Souza</t>
  </si>
  <si>
    <t xml:space="preserve">-</t>
  </si>
  <si>
    <t xml:space="preserve">08:50</t>
  </si>
  <si>
    <t xml:space="preserve">José Ricardo Pinto</t>
  </si>
  <si>
    <t xml:space="preserve">Visa</t>
  </si>
  <si>
    <t xml:space="preserve">Crédito</t>
  </si>
  <si>
    <t xml:space="preserve">3x</t>
  </si>
  <si>
    <t xml:space="preserve">09:30</t>
  </si>
  <si>
    <t xml:space="preserve">Letícia Campos</t>
  </si>
  <si>
    <t xml:space="preserve">10:10</t>
  </si>
  <si>
    <t xml:space="preserve">Paulo Henrique Braga</t>
  </si>
  <si>
    <t xml:space="preserve">Elo</t>
  </si>
  <si>
    <t xml:space="preserve">Débito</t>
  </si>
  <si>
    <t xml:space="preserve">1x</t>
  </si>
  <si>
    <t xml:space="preserve">10:45</t>
  </si>
  <si>
    <t xml:space="preserve">Ana Carolina Freitas</t>
  </si>
  <si>
    <t xml:space="preserve">Mastercard</t>
  </si>
  <si>
    <t xml:space="preserve">2x</t>
  </si>
  <si>
    <t xml:space="preserve">11:20</t>
  </si>
  <si>
    <t xml:space="preserve">Roberto Menezes Lima</t>
  </si>
  <si>
    <t xml:space="preserve">13:40</t>
  </si>
  <si>
    <t xml:space="preserve">Fernanda Duarte</t>
  </si>
  <si>
    <t xml:space="preserve">14:15</t>
  </si>
  <si>
    <t xml:space="preserve">Carlos Eduardo Nunes</t>
  </si>
  <si>
    <t xml:space="preserve">14:55</t>
  </si>
  <si>
    <t xml:space="preserve">Patrícia Gomes</t>
  </si>
  <si>
    <t xml:space="preserve">15:30</t>
  </si>
  <si>
    <t xml:space="preserve">Eduardo Sampaio</t>
  </si>
  <si>
    <t xml:space="preserve">16:05</t>
  </si>
  <si>
    <t xml:space="preserve">Juliana Martins Reis</t>
  </si>
  <si>
    <t xml:space="preserve">16:40</t>
  </si>
  <si>
    <t xml:space="preserve">Silvana Prado</t>
  </si>
  <si>
    <t xml:space="preserve">Total recebido no dia (12 atendimentos)</t>
  </si>
  <si>
    <t xml:space="preserve">Nota: campos com "-" indicam que a forma de pagamento não exige bandeira, modalidade ou parcelamento.</t>
  </si>
  <si>
    <t xml:space="preserve">Detalhamento de Cartões</t>
  </si>
  <si>
    <t xml:space="preserve">SOFT Clínica de Oftalmologia  |  Data: 02/09/2026  |  Valores em Reais (R$)</t>
  </si>
  <si>
    <t xml:space="preserve">Quebra dos pagamentos em cartão por bandeira e por modalidade (crédito ou débito).</t>
  </si>
  <si>
    <t xml:space="preserve">  Cartões por Bandeira</t>
  </si>
  <si>
    <t xml:space="preserve">% do cartão</t>
  </si>
  <si>
    <t xml:space="preserve">Total em cartão</t>
  </si>
  <si>
    <t xml:space="preserve">  Cartões por Modalidade</t>
  </si>
  <si>
    <t xml:space="preserve">Notas: (1) Percentuais calculados sobre o total recebido em cartão. (2) Nas vendas parceladas no crédito, o valor e a data de vencimento de cada parcela estão na aba Parcelas do Cartão.</t>
  </si>
  <si>
    <t xml:space="preserve">Parcelas do Cartão de Crédito</t>
  </si>
  <si>
    <t xml:space="preserve">SOFT Clínica de Oftalmologia  |  Compras de 02/09/2026  |  Valores em Reais (R$)</t>
  </si>
  <si>
    <t xml:space="preserve">Valor e data de vencimento de cada parcela dos atendimentos pagos com cartão de crédito.</t>
  </si>
  <si>
    <t xml:space="preserve">  Cronograma de Recebimento das Parcelas</t>
  </si>
  <si>
    <t xml:space="preserve">Parcelamento</t>
  </si>
  <si>
    <t xml:space="preserve">Parcela</t>
  </si>
  <si>
    <t xml:space="preserve">Total parc.</t>
  </si>
  <si>
    <t xml:space="preserve">Valor da parcela (R$)</t>
  </si>
  <si>
    <t xml:space="preserve">Vencimento</t>
  </si>
  <si>
    <t xml:space="preserve">3x no crédito</t>
  </si>
  <si>
    <t xml:space="preserve">1ª</t>
  </si>
  <si>
    <t xml:space="preserve">2ª</t>
  </si>
  <si>
    <t xml:space="preserve">3ª</t>
  </si>
  <si>
    <t xml:space="preserve">2x no crédito</t>
  </si>
  <si>
    <t xml:space="preserve">1x no crédito</t>
  </si>
  <si>
    <t xml:space="preserve">Total parcelado no cartão de crédito (6 parcelas)</t>
  </si>
  <si>
    <t xml:space="preserve">  Conferência por Atendimento</t>
  </si>
  <si>
    <t xml:space="preserve">Valor do atendimento</t>
  </si>
  <si>
    <t xml:space="preserve">Soma das parcelas</t>
  </si>
  <si>
    <t xml:space="preserve">Diferença</t>
  </si>
  <si>
    <t xml:space="preserve">Situação</t>
  </si>
  <si>
    <t xml:space="preserve">  Previsão de Recebimento por Mês</t>
  </si>
  <si>
    <t xml:space="preserve">Mês de vencimento</t>
  </si>
  <si>
    <t xml:space="preserve">Valor previsto (R$)</t>
  </si>
  <si>
    <t xml:space="preserve">% do parcelado</t>
  </si>
  <si>
    <t xml:space="preserve">Outubro de 2026</t>
  </si>
  <si>
    <t xml:space="preserve">Novembro de 2026</t>
  </si>
  <si>
    <t xml:space="preserve">Dezembro de 2026</t>
  </si>
  <si>
    <t xml:space="preserve">Notas: (1) Vencimentos calculados mês a mês a partir da data da compra. (2) Na última parcela entra o ajuste de centavos, para a soma fechar com o valor do atendimento. (3) Débito e demais formas de pagamento são recebidos à vista e não aparecem aqui.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</si>
</sst>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&quot;R$ &quot;#,##0.00;[RED]&quot;-R$ &quot;#,##0.00"/>
    <numFmt numFmtId="167" formatCode="0.0%"/>
    <numFmt numFmtId="168" formatCode="\$#,##0.#,\K"/>
    <numFmt numFmtId="169" formatCode="dd/mm/yyyy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1666B"/>
      <name val="Georgia"/>
      <family val="0"/>
      <charset val="1"/>
    </font>
    <font>
      <i val="true"/>
      <sz val="10"/>
      <color rgb="FF666666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1666B"/>
      <name val="Calibri"/>
      <family val="0"/>
      <charset val="1"/>
    </font>
    <font>
      <sz val="10"/>
      <color rgb="FF666666"/>
      <name val="Calibri"/>
      <family val="0"/>
      <charset val="1"/>
    </font>
    <font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ECED"/>
        <bgColor rgb="FFD9D9D9"/>
      </patternFill>
    </fill>
    <fill>
      <patternFill patternType="solid">
        <fgColor rgb="FF11666B"/>
        <bgColor rgb="FF225659"/>
      </patternFill>
    </fill>
    <fill>
      <patternFill patternType="solid">
        <fgColor rgb="FFF2F8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D4D6"/>
      </left>
      <right style="thin">
        <color rgb="FFBBD4D6"/>
      </right>
      <top style="thin">
        <color rgb="FFBBD4D6"/>
      </top>
      <bottom style="thin">
        <color rgb="FFBBD4D6"/>
      </bottom>
      <diagonal/>
    </border>
    <border diagonalUp="false" diagonalDown="false">
      <left style="thin">
        <color rgb="FFBBD4D6"/>
      </left>
      <right style="thin">
        <color rgb="FFBBD4D6"/>
      </right>
      <top style="medium">
        <color rgb="FF11666B"/>
      </top>
      <bottom style="thin">
        <color rgb="FFBBD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1666B"/>
        </patternFill>
      </fill>
    </dxf>
    <dxf>
      <fill>
        <patternFill patternType="solid">
          <fgColor rgb="FFF2F8F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666B"/>
      <rgbColor rgb="FFBBD4D6"/>
      <rgbColor rgb="FF878787"/>
      <rgbColor rgb="FF7A9CBE"/>
      <rgbColor rgb="FF993366"/>
      <rgbColor rgb="FFF2F8F8"/>
      <rgbColor rgb="FFD8ECED"/>
      <rgbColor rgb="FF660066"/>
      <rgbColor rgb="FFB8937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483A7"/>
      <rgbColor rgb="FF33CCCC"/>
      <rgbColor rgb="FF99CC00"/>
      <rgbColor rgb="FFFFCC00"/>
      <rgbColor rgb="FFFF9900"/>
      <rgbColor rgb="FFFF6600"/>
      <rgbColor rgb="FF666666"/>
      <rgbColor rgb="FF8EAE91"/>
      <rgbColor rgb="FF003366"/>
      <rgbColor rgb="FF64888A"/>
      <rgbColor rgb="FF003300"/>
      <rgbColor rgb="FF333300"/>
      <rgbColor rgb="FF993300"/>
      <rgbColor rgb="FF993366"/>
      <rgbColor rgb="FF333399"/>
      <rgbColor rgb="FF2256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recebido por forma de pagamento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'Resumo do Dia'!D17</c:f>
              <c:strCache>
                <c:ptCount val="1"/>
                <c:pt idx="0">
                  <c:v>Valor recebido</c:v>
                </c:pt>
              </c:strCache>
            </c:strRef>
          </c:tx>
          <c:spPr>
            <a:solidFill>
              <a:srgbClr val="2256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do Dia'!$B$18:$B$20</c:f>
              <c:strCache>
                <c:ptCount val="3"/>
                <c:pt idx="0">
                  <c:v>Dinheiro</c:v>
                </c:pt>
                <c:pt idx="1">
                  <c:v>Pix</c:v>
                </c:pt>
                <c:pt idx="2">
                  <c:v>Cartão</c:v>
                </c:pt>
              </c:strCache>
            </c:strRef>
          </c:cat>
          <c:val>
            <c:numRef>
              <c:f>'Resumo do Dia'!$D$18:$D$20</c:f>
              <c:numCache>
                <c:formatCode>General</c:formatCode>
                <c:ptCount val="3"/>
                <c:pt idx="0">
                  <c:v>795</c:v>
                </c:pt>
                <c:pt idx="1">
                  <c:v>1135</c:v>
                </c:pt>
                <c:pt idx="2">
                  <c:v>1640</c:v>
                </c:pt>
              </c:numCache>
            </c:numRef>
          </c:val>
        </c:ser>
        <c:gapWidth val="150"/>
        <c:overlap val="0"/>
        <c:axId val="47382843"/>
        <c:axId val="77285434"/>
      </c:barChart>
      <c:catAx>
        <c:axId val="473828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85434"/>
        <c:crosses val="autoZero"/>
        <c:auto val="1"/>
        <c:lblAlgn val="ctr"/>
        <c:lblOffset val="100"/>
        <c:noMultiLvlLbl val="0"/>
      </c:catAx>
      <c:valAx>
        <c:axId val="772854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#,\K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82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recebido por médico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'Resumo do Dia'!D25</c:f>
              <c:strCache>
                <c:ptCount val="1"/>
                <c:pt idx="0">
                  <c:v>Valor recebido</c:v>
                </c:pt>
              </c:strCache>
            </c:strRef>
          </c:tx>
          <c:spPr>
            <a:solidFill>
              <a:srgbClr val="64888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do Dia'!$B$26:$B$29</c:f>
              <c:strCache>
                <c:ptCount val="4"/>
                <c:pt idx="0">
                  <c:v>Nedy Neves</c:v>
                </c:pt>
                <c:pt idx="1">
                  <c:v>Marcela Souza</c:v>
                </c:pt>
                <c:pt idx="2">
                  <c:v>Villane Dias</c:v>
                </c:pt>
                <c:pt idx="3">
                  <c:v>Juliana</c:v>
                </c:pt>
              </c:strCache>
            </c:strRef>
          </c:cat>
          <c:val>
            <c:numRef>
              <c:f>'Resumo do Dia'!$D$26:$D$29</c:f>
              <c:numCache>
                <c:formatCode>General</c:formatCode>
                <c:ptCount val="4"/>
                <c:pt idx="0">
                  <c:v>680</c:v>
                </c:pt>
                <c:pt idx="1">
                  <c:v>1350</c:v>
                </c:pt>
                <c:pt idx="2">
                  <c:v>440</c:v>
                </c:pt>
                <c:pt idx="3">
                  <c:v>1100</c:v>
                </c:pt>
              </c:numCache>
            </c:numRef>
          </c:val>
        </c:ser>
        <c:gapWidth val="150"/>
        <c:overlap val="0"/>
        <c:axId val="90288480"/>
        <c:axId val="27785257"/>
      </c:barChart>
      <c:catAx>
        <c:axId val="90288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85257"/>
        <c:crosses val="autoZero"/>
        <c:auto val="1"/>
        <c:lblAlgn val="ctr"/>
        <c:lblOffset val="100"/>
        <c:noMultiLvlLbl val="0"/>
      </c:catAx>
      <c:valAx>
        <c:axId val="277852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#,\K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884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Participação por bandeira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Cartões!D7</c:f>
              <c:strCache>
                <c:ptCount val="1"/>
                <c:pt idx="0">
                  <c:v>Valor recebido</c:v>
                </c:pt>
              </c:strCache>
            </c:strRef>
          </c:tx>
          <c:spPr>
            <a:solidFill>
              <a:srgbClr val="6483a7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7a9cb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b8937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eae9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Cartões!$B$8:$B$10</c:f>
              <c:strCache>
                <c:ptCount val="3"/>
                <c:pt idx="0">
                  <c:v>Visa</c:v>
                </c:pt>
                <c:pt idx="1">
                  <c:v>Mastercard</c:v>
                </c:pt>
                <c:pt idx="2">
                  <c:v>Elo</c:v>
                </c:pt>
              </c:strCache>
            </c:strRef>
          </c:cat>
          <c:val>
            <c:numRef>
              <c:f>Cartões!$D$8:$D$10</c:f>
              <c:numCache>
                <c:formatCode>General</c:formatCode>
                <c:ptCount val="3"/>
                <c:pt idx="0">
                  <c:v>900</c:v>
                </c:pt>
                <c:pt idx="1">
                  <c:v>250</c:v>
                </c:pt>
                <c:pt idx="2">
                  <c:v>490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a receber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'Parcelas do Cartão'!D23</c:f>
              <c:strCache>
                <c:ptCount val="1"/>
                <c:pt idx="0">
                  <c:v>Valor previsto (R$)</c:v>
                </c:pt>
              </c:strCache>
            </c:strRef>
          </c:tx>
          <c:spPr>
            <a:solidFill>
              <a:srgbClr val="2256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'Parcelas do Cartão'!$B$24:$B$26</c:f>
              <c:strCache>
                <c:ptCount val="3"/>
                <c:pt idx="0">
                  <c:v>Outubro de 2026</c:v>
                </c:pt>
                <c:pt idx="1">
                  <c:v>Novembro de 2026</c:v>
                </c:pt>
                <c:pt idx="2">
                  <c:v>Dezembro de 2026</c:v>
                </c:pt>
              </c:strCache>
            </c:strRef>
          </c:cat>
          <c:val>
            <c:numRef>
              <c:f>'Parcelas do Cartão'!$D$24:$D$26</c:f>
              <c:numCache>
                <c:formatCode>General</c:formatCode>
                <c:ptCount val="3"/>
                <c:pt idx="0">
                  <c:v>521.67</c:v>
                </c:pt>
                <c:pt idx="1">
                  <c:v>341.67</c:v>
                </c:pt>
                <c:pt idx="2">
                  <c:v>216.66</c:v>
                </c:pt>
              </c:numCache>
            </c:numRef>
          </c:val>
        </c:ser>
        <c:gapWidth val="150"/>
        <c:overlap val="0"/>
        <c:axId val="13994375"/>
        <c:axId val="13404118"/>
      </c:barChart>
      <c:catAx>
        <c:axId val="139943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404118"/>
        <c:crosses val="autoZero"/>
        <c:auto val="1"/>
        <c:lblAlgn val="ctr"/>
        <c:lblOffset val="100"/>
        <c:noMultiLvlLbl val="0"/>
      </c:catAx>
      <c:valAx>
        <c:axId val="134041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943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15</xdr:row>
      <xdr:rowOff>0</xdr:rowOff>
    </xdr:from>
    <xdr:to>
      <xdr:col>14</xdr:col>
      <xdr:colOff>34200</xdr:colOff>
      <xdr:row>24</xdr:row>
      <xdr:rowOff>213120</xdr:rowOff>
    </xdr:to>
    <xdr:graphicFrame>
      <xdr:nvGraphicFramePr>
        <xdr:cNvPr id="0" name="Chart 1"/>
        <xdr:cNvGraphicFramePr/>
      </xdr:nvGraphicFramePr>
      <xdr:xfrm>
        <a:off x="9664560" y="3762360"/>
        <a:ext cx="432360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32</xdr:row>
      <xdr:rowOff>0</xdr:rowOff>
    </xdr:from>
    <xdr:to>
      <xdr:col>14</xdr:col>
      <xdr:colOff>34200</xdr:colOff>
      <xdr:row>42</xdr:row>
      <xdr:rowOff>70200</xdr:rowOff>
    </xdr:to>
    <xdr:graphicFrame>
      <xdr:nvGraphicFramePr>
        <xdr:cNvPr id="1" name="Chart 2"/>
        <xdr:cNvGraphicFramePr/>
      </xdr:nvGraphicFramePr>
      <xdr:xfrm>
        <a:off x="9664560" y="8277120"/>
        <a:ext cx="432360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0</xdr:rowOff>
    </xdr:from>
    <xdr:to>
      <xdr:col>12</xdr:col>
      <xdr:colOff>286200</xdr:colOff>
      <xdr:row>14</xdr:row>
      <xdr:rowOff>213120</xdr:rowOff>
    </xdr:to>
    <xdr:graphicFrame>
      <xdr:nvGraphicFramePr>
        <xdr:cNvPr id="2" name="Chart 1"/>
        <xdr:cNvGraphicFramePr/>
      </xdr:nvGraphicFramePr>
      <xdr:xfrm>
        <a:off x="7689240" y="1162080"/>
        <a:ext cx="39628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21</xdr:row>
      <xdr:rowOff>0</xdr:rowOff>
    </xdr:from>
    <xdr:to>
      <xdr:col>16</xdr:col>
      <xdr:colOff>34560</xdr:colOff>
      <xdr:row>31</xdr:row>
      <xdr:rowOff>184680</xdr:rowOff>
    </xdr:to>
    <xdr:graphicFrame>
      <xdr:nvGraphicFramePr>
        <xdr:cNvPr id="3" name="Chart 1"/>
        <xdr:cNvGraphicFramePr/>
      </xdr:nvGraphicFramePr>
      <xdr:xfrm>
        <a:off x="10349280" y="5543640"/>
        <a:ext cx="432396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2.99"/>
    <col collapsed="false" customWidth="true" hidden="false" outlineLevel="0" max="2" min="2" style="1" width="34"/>
    <col collapsed="false" customWidth="true" hidden="false" outlineLevel="0" max="7" min="3" style="1" width="19.99"/>
  </cols>
  <sheetData>
    <row r="1" customFormat="false" ht="34.5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19.5" hidden="false" customHeight="true" outlineLevel="0" collapsed="false">
      <c r="B2" s="3" t="s">
        <v>1</v>
      </c>
      <c r="C2" s="3"/>
      <c r="D2" s="3"/>
      <c r="E2" s="3"/>
      <c r="F2" s="3"/>
      <c r="G2" s="3"/>
    </row>
    <row r="3" customFormat="false" ht="18" hidden="false" customHeight="true" outlineLevel="0" collapsed="false">
      <c r="B3" s="4" t="s">
        <v>2</v>
      </c>
      <c r="C3" s="4"/>
      <c r="D3" s="4"/>
      <c r="E3" s="4"/>
      <c r="F3" s="4"/>
      <c r="G3" s="4"/>
    </row>
    <row r="4" customFormat="false" ht="4.5" hidden="false" customHeight="true" outlineLevel="0" collapsed="false">
      <c r="B4" s="5"/>
      <c r="C4" s="5"/>
      <c r="D4" s="5"/>
      <c r="E4" s="5"/>
      <c r="F4" s="5"/>
      <c r="G4" s="5"/>
    </row>
    <row r="6" customFormat="false" ht="27.75" hidden="false" customHeight="true" outlineLevel="0" collapsed="false">
      <c r="B6" s="6" t="s">
        <v>3</v>
      </c>
      <c r="C6" s="6"/>
      <c r="D6" s="6"/>
    </row>
    <row r="7" customFormat="false" ht="30" hidden="false" customHeight="true" outlineLevel="0" collapsed="false">
      <c r="B7" s="7" t="s">
        <v>4</v>
      </c>
      <c r="C7" s="7" t="s">
        <v>5</v>
      </c>
      <c r="D7" s="7" t="s">
        <v>6</v>
      </c>
    </row>
    <row r="8" customFormat="false" ht="19.5" hidden="false" customHeight="true" outlineLevel="0" collapsed="false">
      <c r="B8" s="8" t="s">
        <v>7</v>
      </c>
      <c r="C8" s="9" t="n">
        <f aca="false">COUNTA(Atendimentos!B8:B19)</f>
        <v>12</v>
      </c>
      <c r="D8" s="10" t="s">
        <v>8</v>
      </c>
    </row>
    <row r="9" customFormat="false" ht="19.5" hidden="false" customHeight="true" outlineLevel="0" collapsed="false">
      <c r="B9" s="8" t="s">
        <v>9</v>
      </c>
      <c r="C9" s="11" t="n">
        <f aca="false">Atendimentos!J20</f>
        <v>3570</v>
      </c>
      <c r="D9" s="10" t="s">
        <v>10</v>
      </c>
    </row>
    <row r="10" customFormat="false" ht="19.5" hidden="false" customHeight="true" outlineLevel="0" collapsed="false">
      <c r="B10" s="8" t="s">
        <v>11</v>
      </c>
      <c r="C10" s="11" t="n">
        <f aca="false">IFERROR(C9/C8,0)</f>
        <v>297.5</v>
      </c>
      <c r="D10" s="10" t="s">
        <v>12</v>
      </c>
    </row>
    <row r="11" customFormat="false" ht="19.5" hidden="false" customHeight="true" outlineLevel="0" collapsed="false">
      <c r="B11" s="8" t="s">
        <v>13</v>
      </c>
      <c r="C11" s="11" t="n">
        <f aca="false">MAX(Atendimentos!J8:J19)</f>
        <v>650</v>
      </c>
      <c r="D11" s="10" t="s">
        <v>14</v>
      </c>
    </row>
    <row r="12" customFormat="false" ht="19.5" hidden="false" customHeight="true" outlineLevel="0" collapsed="false">
      <c r="B12" s="8" t="s">
        <v>15</v>
      </c>
      <c r="C12" s="11" t="n">
        <f aca="false">MIN(Atendimentos!J8:J19)</f>
        <v>95</v>
      </c>
      <c r="D12" s="10" t="s">
        <v>16</v>
      </c>
    </row>
    <row r="13" customFormat="false" ht="19.5" hidden="false" customHeight="true" outlineLevel="0" collapsed="false">
      <c r="B13" s="8" t="s">
        <v>17</v>
      </c>
      <c r="C13" s="9" t="n">
        <f aca="false">COUNTIF(C26:C29,"&gt;0")</f>
        <v>4</v>
      </c>
      <c r="D13" s="10" t="s">
        <v>18</v>
      </c>
    </row>
    <row r="16" customFormat="false" ht="27.75" hidden="false" customHeight="true" outlineLevel="0" collapsed="false">
      <c r="B16" s="6" t="s">
        <v>19</v>
      </c>
      <c r="C16" s="6"/>
      <c r="D16" s="6"/>
      <c r="E16" s="6"/>
      <c r="F16" s="6"/>
    </row>
    <row r="17" customFormat="false" ht="30" hidden="false" customHeight="true" outlineLevel="0" collapsed="false">
      <c r="B17" s="7" t="s">
        <v>20</v>
      </c>
      <c r="C17" s="7" t="s">
        <v>21</v>
      </c>
      <c r="D17" s="7" t="s">
        <v>22</v>
      </c>
      <c r="E17" s="7" t="s">
        <v>23</v>
      </c>
      <c r="F17" s="7" t="s">
        <v>11</v>
      </c>
    </row>
    <row r="18" customFormat="false" ht="19.5" hidden="false" customHeight="true" outlineLevel="0" collapsed="false">
      <c r="B18" s="12" t="s">
        <v>24</v>
      </c>
      <c r="C18" s="13" t="n">
        <f aca="false">COUNTIF(Atendimentos!$F$8:$F$19,$B18)</f>
        <v>3</v>
      </c>
      <c r="D18" s="14" t="n">
        <f aca="false">SUMIF(Atendimentos!$F$8:$F$19,$B18,Atendimentos!$J$8:$J$19)</f>
        <v>795</v>
      </c>
      <c r="E18" s="15" t="n">
        <f aca="false">IFERROR(D18/$D$21,0)</f>
        <v>0.222689075630252</v>
      </c>
      <c r="F18" s="14" t="n">
        <f aca="false">IFERROR(D18/C18,0)</f>
        <v>265</v>
      </c>
    </row>
    <row r="19" customFormat="false" ht="19.5" hidden="false" customHeight="true" outlineLevel="0" collapsed="false">
      <c r="B19" s="16" t="s">
        <v>25</v>
      </c>
      <c r="C19" s="17" t="n">
        <f aca="false">COUNTIF(Atendimentos!$F$8:$F$19,$B19)</f>
        <v>4</v>
      </c>
      <c r="D19" s="18" t="n">
        <f aca="false">SUMIF(Atendimentos!$F$8:$F$19,$B19,Atendimentos!$J$8:$J$19)</f>
        <v>1135</v>
      </c>
      <c r="E19" s="19" t="n">
        <f aca="false">IFERROR(D19/$D$21,0)</f>
        <v>0.317927170868347</v>
      </c>
      <c r="F19" s="18" t="n">
        <f aca="false">IFERROR(D19/C19,0)</f>
        <v>283.75</v>
      </c>
    </row>
    <row r="20" customFormat="false" ht="19.5" hidden="false" customHeight="true" outlineLevel="0" collapsed="false">
      <c r="B20" s="12" t="s">
        <v>26</v>
      </c>
      <c r="C20" s="13" t="n">
        <f aca="false">COUNTIF(Atendimentos!$F$8:$F$19,$B20)</f>
        <v>5</v>
      </c>
      <c r="D20" s="14" t="n">
        <f aca="false">SUMIF(Atendimentos!$F$8:$F$19,$B20,Atendimentos!$J$8:$J$19)</f>
        <v>1640</v>
      </c>
      <c r="E20" s="15" t="n">
        <f aca="false">IFERROR(D20/$D$21,0)</f>
        <v>0.459383753501401</v>
      </c>
      <c r="F20" s="14" t="n">
        <f aca="false">IFERROR(D20/C20,0)</f>
        <v>328</v>
      </c>
    </row>
    <row r="21" customFormat="false" ht="21.75" hidden="false" customHeight="true" outlineLevel="0" collapsed="false">
      <c r="B21" s="20" t="s">
        <v>27</v>
      </c>
      <c r="C21" s="21" t="n">
        <f aca="false">SUM(C18:C20)</f>
        <v>12</v>
      </c>
      <c r="D21" s="22" t="n">
        <f aca="false">SUM(D18:D20)</f>
        <v>3570</v>
      </c>
      <c r="E21" s="23" t="n">
        <f aca="false">IFERROR(SUM(E18:E20),0)</f>
        <v>1</v>
      </c>
      <c r="F21" s="22" t="n">
        <f aca="false">IFERROR(D21/C21,0)</f>
        <v>297.5</v>
      </c>
    </row>
    <row r="24" customFormat="false" ht="27.75" hidden="false" customHeight="true" outlineLevel="0" collapsed="false">
      <c r="B24" s="6" t="s">
        <v>28</v>
      </c>
      <c r="C24" s="6"/>
      <c r="D24" s="6"/>
      <c r="E24" s="6"/>
      <c r="F24" s="6"/>
    </row>
    <row r="25" customFormat="false" ht="30" hidden="false" customHeight="true" outlineLevel="0" collapsed="false">
      <c r="B25" s="7" t="s">
        <v>20</v>
      </c>
      <c r="C25" s="7" t="s">
        <v>21</v>
      </c>
      <c r="D25" s="7" t="s">
        <v>22</v>
      </c>
      <c r="E25" s="7" t="s">
        <v>23</v>
      </c>
      <c r="F25" s="7" t="s">
        <v>11</v>
      </c>
    </row>
    <row r="26" customFormat="false" ht="19.5" hidden="false" customHeight="true" outlineLevel="0" collapsed="false">
      <c r="B26" s="12" t="s">
        <v>29</v>
      </c>
      <c r="C26" s="13" t="n">
        <f aca="false">COUNTIF(Atendimentos!$D$8:$D$19,$B26)</f>
        <v>3</v>
      </c>
      <c r="D26" s="14" t="n">
        <f aca="false">SUMIF(Atendimentos!$D$8:$D$19,$B26,Atendimentos!$J$8:$J$19)</f>
        <v>680</v>
      </c>
      <c r="E26" s="15" t="n">
        <f aca="false">IFERROR(D26/$D$30,0)</f>
        <v>0.19047619047619</v>
      </c>
      <c r="F26" s="14" t="n">
        <f aca="false">IFERROR(D26/C26,0)</f>
        <v>226.666666666667</v>
      </c>
    </row>
    <row r="27" customFormat="false" ht="19.5" hidden="false" customHeight="true" outlineLevel="0" collapsed="false">
      <c r="B27" s="16" t="s">
        <v>30</v>
      </c>
      <c r="C27" s="17" t="n">
        <f aca="false">COUNTIF(Atendimentos!$D$8:$D$19,$B27)</f>
        <v>3</v>
      </c>
      <c r="D27" s="18" t="n">
        <f aca="false">SUMIF(Atendimentos!$D$8:$D$19,$B27,Atendimentos!$J$8:$J$19)</f>
        <v>1350</v>
      </c>
      <c r="E27" s="19" t="n">
        <f aca="false">IFERROR(D27/$D$30,0)</f>
        <v>0.378151260504202</v>
      </c>
      <c r="F27" s="18" t="n">
        <f aca="false">IFERROR(D27/C27,0)</f>
        <v>450</v>
      </c>
    </row>
    <row r="28" customFormat="false" ht="19.5" hidden="false" customHeight="true" outlineLevel="0" collapsed="false">
      <c r="B28" s="12" t="s">
        <v>31</v>
      </c>
      <c r="C28" s="13" t="n">
        <f aca="false">COUNTIF(Atendimentos!$D$8:$D$19,$B28)</f>
        <v>3</v>
      </c>
      <c r="D28" s="14" t="n">
        <f aca="false">SUMIF(Atendimentos!$D$8:$D$19,$B28,Atendimentos!$J$8:$J$19)</f>
        <v>440</v>
      </c>
      <c r="E28" s="15" t="n">
        <f aca="false">IFERROR(D28/$D$30,0)</f>
        <v>0.123249299719888</v>
      </c>
      <c r="F28" s="14" t="n">
        <f aca="false">IFERROR(D28/C28,0)</f>
        <v>146.666666666667</v>
      </c>
    </row>
    <row r="29" customFormat="false" ht="19.5" hidden="false" customHeight="true" outlineLevel="0" collapsed="false">
      <c r="B29" s="16" t="s">
        <v>32</v>
      </c>
      <c r="C29" s="17" t="n">
        <f aca="false">COUNTIF(Atendimentos!$D$8:$D$19,$B29)</f>
        <v>3</v>
      </c>
      <c r="D29" s="18" t="n">
        <f aca="false">SUMIF(Atendimentos!$D$8:$D$19,$B29,Atendimentos!$J$8:$J$19)</f>
        <v>1100</v>
      </c>
      <c r="E29" s="19" t="n">
        <f aca="false">IFERROR(D29/$D$30,0)</f>
        <v>0.30812324929972</v>
      </c>
      <c r="F29" s="18" t="n">
        <f aca="false">IFERROR(D29/C29,0)</f>
        <v>366.666666666667</v>
      </c>
    </row>
    <row r="30" customFormat="false" ht="21.75" hidden="false" customHeight="true" outlineLevel="0" collapsed="false">
      <c r="B30" s="20" t="s">
        <v>27</v>
      </c>
      <c r="C30" s="21" t="n">
        <f aca="false">SUM(C26:C29)</f>
        <v>12</v>
      </c>
      <c r="D30" s="22" t="n">
        <f aca="false">SUM(D26:D29)</f>
        <v>3570</v>
      </c>
      <c r="E30" s="23" t="n">
        <f aca="false">IFERROR(SUM(E26:E29),0)</f>
        <v>1</v>
      </c>
      <c r="F30" s="22" t="n">
        <f aca="false">IFERROR(D30/C30,0)</f>
        <v>297.5</v>
      </c>
    </row>
    <row r="33" customFormat="false" ht="27.75" hidden="false" customHeight="true" outlineLevel="0" collapsed="false">
      <c r="B33" s="6" t="s">
        <v>33</v>
      </c>
      <c r="C33" s="6"/>
      <c r="D33" s="6"/>
      <c r="E33" s="6"/>
      <c r="F33" s="6"/>
    </row>
    <row r="34" customFormat="false" ht="30" hidden="false" customHeight="true" outlineLevel="0" collapsed="false">
      <c r="B34" s="7" t="s">
        <v>20</v>
      </c>
      <c r="C34" s="7" t="s">
        <v>21</v>
      </c>
      <c r="D34" s="7" t="s">
        <v>22</v>
      </c>
      <c r="E34" s="7" t="s">
        <v>23</v>
      </c>
      <c r="F34" s="7" t="s">
        <v>11</v>
      </c>
    </row>
    <row r="35" customFormat="false" ht="19.5" hidden="false" customHeight="true" outlineLevel="0" collapsed="false">
      <c r="B35" s="12" t="s">
        <v>34</v>
      </c>
      <c r="C35" s="13" t="n">
        <f aca="false">COUNTIF(Atendimentos!$E$8:$E$19,$B35)</f>
        <v>3</v>
      </c>
      <c r="D35" s="14" t="n">
        <f aca="false">SUMIF(Atendimentos!$E$8:$E$19,$B35,Atendimentos!$J$8:$J$19)</f>
        <v>750</v>
      </c>
      <c r="E35" s="15" t="n">
        <f aca="false">IFERROR(D35/$D$40,0)</f>
        <v>0.210084033613445</v>
      </c>
      <c r="F35" s="14" t="n">
        <f aca="false">IFERROR(D35/C35,0)</f>
        <v>250</v>
      </c>
    </row>
    <row r="36" customFormat="false" ht="19.5" hidden="false" customHeight="true" outlineLevel="0" collapsed="false">
      <c r="B36" s="16" t="s">
        <v>35</v>
      </c>
      <c r="C36" s="17" t="n">
        <f aca="false">COUNTIF(Atendimentos!$E$8:$E$19,$B36)</f>
        <v>3</v>
      </c>
      <c r="D36" s="18" t="n">
        <f aca="false">SUMIF(Atendimentos!$E$8:$E$19,$B36,Atendimentos!$J$8:$J$19)</f>
        <v>1610</v>
      </c>
      <c r="E36" s="19" t="n">
        <f aca="false">IFERROR(D36/$D$40,0)</f>
        <v>0.450980392156863</v>
      </c>
      <c r="F36" s="18" t="n">
        <f aca="false">IFERROR(D36/C36,0)</f>
        <v>536.666666666667</v>
      </c>
    </row>
    <row r="37" customFormat="false" ht="19.5" hidden="false" customHeight="true" outlineLevel="0" collapsed="false">
      <c r="B37" s="12" t="s">
        <v>36</v>
      </c>
      <c r="C37" s="13" t="n">
        <f aca="false">COUNTIF(Atendimentos!$E$8:$E$19,$B37)</f>
        <v>2</v>
      </c>
      <c r="D37" s="14" t="n">
        <f aca="false">SUMIF(Atendimentos!$E$8:$E$19,$B37,Atendimentos!$J$8:$J$19)</f>
        <v>190</v>
      </c>
      <c r="E37" s="15" t="n">
        <f aca="false">IFERROR(D37/$D$40,0)</f>
        <v>0.0532212885154062</v>
      </c>
      <c r="F37" s="14" t="n">
        <f aca="false">IFERROR(D37/C37,0)</f>
        <v>95</v>
      </c>
    </row>
    <row r="38" customFormat="false" ht="19.5" hidden="false" customHeight="true" outlineLevel="0" collapsed="false">
      <c r="B38" s="16" t="s">
        <v>37</v>
      </c>
      <c r="C38" s="17" t="n">
        <f aca="false">COUNTIF(Atendimentos!$E$8:$E$19,$B38)</f>
        <v>3</v>
      </c>
      <c r="D38" s="18" t="n">
        <f aca="false">SUMIF(Atendimentos!$E$8:$E$19,$B38,Atendimentos!$J$8:$J$19)</f>
        <v>840</v>
      </c>
      <c r="E38" s="19" t="n">
        <f aca="false">IFERROR(D38/$D$40,0)</f>
        <v>0.235294117647059</v>
      </c>
      <c r="F38" s="18" t="n">
        <f aca="false">IFERROR(D38/C38,0)</f>
        <v>280</v>
      </c>
    </row>
    <row r="39" customFormat="false" ht="19.5" hidden="false" customHeight="true" outlineLevel="0" collapsed="false">
      <c r="B39" s="12" t="s">
        <v>38</v>
      </c>
      <c r="C39" s="13" t="n">
        <f aca="false">COUNTIF(Atendimentos!$E$8:$E$19,$B39)</f>
        <v>1</v>
      </c>
      <c r="D39" s="14" t="n">
        <f aca="false">SUMIF(Atendimentos!$E$8:$E$19,$B39,Atendimentos!$J$8:$J$19)</f>
        <v>180</v>
      </c>
      <c r="E39" s="15" t="n">
        <f aca="false">IFERROR(D39/$D$40,0)</f>
        <v>0.0504201680672269</v>
      </c>
      <c r="F39" s="14" t="n">
        <f aca="false">IFERROR(D39/C39,0)</f>
        <v>180</v>
      </c>
    </row>
    <row r="40" customFormat="false" ht="21.75" hidden="false" customHeight="true" outlineLevel="0" collapsed="false">
      <c r="B40" s="20" t="s">
        <v>27</v>
      </c>
      <c r="C40" s="21" t="n">
        <f aca="false">SUM(C35:C39)</f>
        <v>12</v>
      </c>
      <c r="D40" s="22" t="n">
        <f aca="false">SUM(D35:D39)</f>
        <v>3570</v>
      </c>
      <c r="E40" s="23" t="n">
        <f aca="false">IFERROR(SUM(E35:E39),0)</f>
        <v>1</v>
      </c>
      <c r="F40" s="22" t="n">
        <f aca="false">IFERROR(D40/C40,0)</f>
        <v>297.5</v>
      </c>
    </row>
    <row r="42" customFormat="false" ht="15" hidden="false" customHeight="true" outlineLevel="0" collapsed="false">
      <c r="B42" s="24" t="s">
        <v>39</v>
      </c>
    </row>
  </sheetData>
  <mergeCells count="8">
    <mergeCell ref="B1:G1"/>
    <mergeCell ref="B2:G2"/>
    <mergeCell ref="B3:G3"/>
    <mergeCell ref="B4:G4"/>
    <mergeCell ref="B6:D6"/>
    <mergeCell ref="B16:F16"/>
    <mergeCell ref="B24:F24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2.99"/>
    <col collapsed="false" customWidth="true" hidden="false" outlineLevel="0" max="2" min="2" style="1" width="13.01"/>
    <col collapsed="false" customWidth="true" hidden="false" outlineLevel="0" max="3" min="3" style="1" width="30.02"/>
    <col collapsed="false" customWidth="true" hidden="false" outlineLevel="0" max="4" min="4" style="1" width="18"/>
    <col collapsed="false" customWidth="true" hidden="false" outlineLevel="0" max="5" min="5" style="1" width="22.01"/>
    <col collapsed="false" customWidth="true" hidden="false" outlineLevel="0" max="6" min="6" style="1" width="19.99"/>
    <col collapsed="false" customWidth="true" hidden="false" outlineLevel="0" max="8" min="7" style="1" width="14.01"/>
    <col collapsed="false" customWidth="true" hidden="false" outlineLevel="0" max="9" min="9" style="1" width="10.99"/>
    <col collapsed="false" customWidth="true" hidden="false" outlineLevel="0" max="10" min="10" style="1" width="16"/>
  </cols>
  <sheetData>
    <row r="1" customFormat="false" ht="34.5" hidden="false" customHeight="true" outlineLevel="0" collapsed="false">
      <c r="B1" s="2" t="s">
        <v>40</v>
      </c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B2" s="3" t="s">
        <v>41</v>
      </c>
      <c r="C2" s="3"/>
      <c r="D2" s="3"/>
      <c r="E2" s="3"/>
      <c r="F2" s="3"/>
      <c r="G2" s="3"/>
      <c r="H2" s="3"/>
      <c r="I2" s="3"/>
      <c r="J2" s="3"/>
    </row>
    <row r="3" customFormat="false" ht="18" hidden="false" customHeight="true" outlineLevel="0" collapsed="false">
      <c r="B3" s="4" t="s">
        <v>42</v>
      </c>
      <c r="C3" s="4"/>
      <c r="D3" s="4"/>
      <c r="E3" s="4"/>
      <c r="F3" s="4"/>
      <c r="G3" s="4"/>
      <c r="H3" s="4"/>
      <c r="I3" s="4"/>
      <c r="J3" s="4"/>
    </row>
    <row r="4" customFormat="false" ht="4.5" hidden="false" customHeight="true" outlineLevel="0" collapsed="false">
      <c r="B4" s="5"/>
      <c r="C4" s="5"/>
      <c r="D4" s="5"/>
      <c r="E4" s="5"/>
      <c r="F4" s="5"/>
      <c r="G4" s="5"/>
      <c r="H4" s="5"/>
      <c r="I4" s="5"/>
      <c r="J4" s="5"/>
    </row>
    <row r="6" customFormat="false" ht="27.75" hidden="false" customHeight="true" outlineLevel="0" collapsed="false">
      <c r="B6" s="6" t="s">
        <v>43</v>
      </c>
      <c r="C6" s="6"/>
      <c r="D6" s="6"/>
      <c r="E6" s="6"/>
      <c r="F6" s="6"/>
      <c r="G6" s="6"/>
      <c r="H6" s="6"/>
      <c r="I6" s="6"/>
      <c r="J6" s="6"/>
    </row>
    <row r="7" customFormat="false" ht="30" hidden="false" customHeight="true" outlineLevel="0" collapsed="false">
      <c r="B7" s="7" t="s">
        <v>44</v>
      </c>
      <c r="C7" s="7" t="s">
        <v>45</v>
      </c>
      <c r="D7" s="7" t="s">
        <v>46</v>
      </c>
      <c r="E7" s="7" t="s">
        <v>47</v>
      </c>
      <c r="F7" s="7" t="s">
        <v>48</v>
      </c>
      <c r="G7" s="7" t="s">
        <v>49</v>
      </c>
      <c r="H7" s="7" t="s">
        <v>50</v>
      </c>
      <c r="I7" s="7" t="s">
        <v>51</v>
      </c>
      <c r="J7" s="7" t="s">
        <v>52</v>
      </c>
    </row>
    <row r="8" customFormat="false" ht="19.5" hidden="false" customHeight="true" outlineLevel="0" collapsed="false">
      <c r="B8" s="25" t="s">
        <v>53</v>
      </c>
      <c r="C8" s="12" t="s">
        <v>54</v>
      </c>
      <c r="D8" s="12" t="s">
        <v>29</v>
      </c>
      <c r="E8" s="12" t="s">
        <v>34</v>
      </c>
      <c r="F8" s="12" t="s">
        <v>25</v>
      </c>
      <c r="G8" s="25" t="s">
        <v>55</v>
      </c>
      <c r="H8" s="25" t="s">
        <v>55</v>
      </c>
      <c r="I8" s="25" t="s">
        <v>55</v>
      </c>
      <c r="J8" s="14" t="n">
        <v>250</v>
      </c>
    </row>
    <row r="9" customFormat="false" ht="19.5" hidden="false" customHeight="true" outlineLevel="0" collapsed="false">
      <c r="B9" s="26" t="s">
        <v>56</v>
      </c>
      <c r="C9" s="16" t="s">
        <v>57</v>
      </c>
      <c r="D9" s="16" t="s">
        <v>30</v>
      </c>
      <c r="E9" s="16" t="s">
        <v>35</v>
      </c>
      <c r="F9" s="16" t="s">
        <v>26</v>
      </c>
      <c r="G9" s="26" t="s">
        <v>58</v>
      </c>
      <c r="H9" s="26" t="s">
        <v>59</v>
      </c>
      <c r="I9" s="26" t="s">
        <v>60</v>
      </c>
      <c r="J9" s="18" t="n">
        <v>650</v>
      </c>
    </row>
    <row r="10" customFormat="false" ht="19.5" hidden="false" customHeight="true" outlineLevel="0" collapsed="false">
      <c r="B10" s="25" t="s">
        <v>61</v>
      </c>
      <c r="C10" s="12" t="s">
        <v>62</v>
      </c>
      <c r="D10" s="12" t="s">
        <v>31</v>
      </c>
      <c r="E10" s="12" t="s">
        <v>36</v>
      </c>
      <c r="F10" s="12" t="s">
        <v>24</v>
      </c>
      <c r="G10" s="25" t="s">
        <v>55</v>
      </c>
      <c r="H10" s="25" t="s">
        <v>55</v>
      </c>
      <c r="I10" s="25" t="s">
        <v>55</v>
      </c>
      <c r="J10" s="14" t="n">
        <v>95</v>
      </c>
    </row>
    <row r="11" customFormat="false" ht="19.5" hidden="false" customHeight="true" outlineLevel="0" collapsed="false">
      <c r="B11" s="26" t="s">
        <v>63</v>
      </c>
      <c r="C11" s="16" t="s">
        <v>64</v>
      </c>
      <c r="D11" s="16" t="s">
        <v>32</v>
      </c>
      <c r="E11" s="16" t="s">
        <v>37</v>
      </c>
      <c r="F11" s="16" t="s">
        <v>26</v>
      </c>
      <c r="G11" s="26" t="s">
        <v>65</v>
      </c>
      <c r="H11" s="26" t="s">
        <v>66</v>
      </c>
      <c r="I11" s="26" t="s">
        <v>67</v>
      </c>
      <c r="J11" s="18" t="n">
        <v>310</v>
      </c>
    </row>
    <row r="12" customFormat="false" ht="19.5" hidden="false" customHeight="true" outlineLevel="0" collapsed="false">
      <c r="B12" s="25" t="s">
        <v>68</v>
      </c>
      <c r="C12" s="12" t="s">
        <v>69</v>
      </c>
      <c r="D12" s="12" t="s">
        <v>29</v>
      </c>
      <c r="E12" s="12" t="s">
        <v>34</v>
      </c>
      <c r="F12" s="12" t="s">
        <v>26</v>
      </c>
      <c r="G12" s="25" t="s">
        <v>70</v>
      </c>
      <c r="H12" s="25" t="s">
        <v>59</v>
      </c>
      <c r="I12" s="25" t="s">
        <v>71</v>
      </c>
      <c r="J12" s="14" t="n">
        <v>250</v>
      </c>
    </row>
    <row r="13" customFormat="false" ht="19.5" hidden="false" customHeight="true" outlineLevel="0" collapsed="false">
      <c r="B13" s="26" t="s">
        <v>72</v>
      </c>
      <c r="C13" s="16" t="s">
        <v>73</v>
      </c>
      <c r="D13" s="16" t="s">
        <v>31</v>
      </c>
      <c r="E13" s="16" t="s">
        <v>36</v>
      </c>
      <c r="F13" s="16" t="s">
        <v>25</v>
      </c>
      <c r="G13" s="26" t="s">
        <v>55</v>
      </c>
      <c r="H13" s="26" t="s">
        <v>55</v>
      </c>
      <c r="I13" s="26" t="s">
        <v>55</v>
      </c>
      <c r="J13" s="18" t="n">
        <v>95</v>
      </c>
    </row>
    <row r="14" customFormat="false" ht="19.5" hidden="false" customHeight="true" outlineLevel="0" collapsed="false">
      <c r="B14" s="25" t="s">
        <v>74</v>
      </c>
      <c r="C14" s="12" t="s">
        <v>75</v>
      </c>
      <c r="D14" s="12" t="s">
        <v>30</v>
      </c>
      <c r="E14" s="12" t="s">
        <v>35</v>
      </c>
      <c r="F14" s="12" t="s">
        <v>24</v>
      </c>
      <c r="G14" s="25" t="s">
        <v>55</v>
      </c>
      <c r="H14" s="25" t="s">
        <v>55</v>
      </c>
      <c r="I14" s="25" t="s">
        <v>55</v>
      </c>
      <c r="J14" s="14" t="n">
        <v>480</v>
      </c>
    </row>
    <row r="15" customFormat="false" ht="19.5" hidden="false" customHeight="true" outlineLevel="0" collapsed="false">
      <c r="B15" s="26" t="s">
        <v>76</v>
      </c>
      <c r="C15" s="16" t="s">
        <v>77</v>
      </c>
      <c r="D15" s="16" t="s">
        <v>32</v>
      </c>
      <c r="E15" s="16" t="s">
        <v>37</v>
      </c>
      <c r="F15" s="16" t="s">
        <v>25</v>
      </c>
      <c r="G15" s="26" t="s">
        <v>55</v>
      </c>
      <c r="H15" s="26" t="s">
        <v>55</v>
      </c>
      <c r="I15" s="26" t="s">
        <v>55</v>
      </c>
      <c r="J15" s="18" t="n">
        <v>310</v>
      </c>
    </row>
    <row r="16" customFormat="false" ht="19.5" hidden="false" customHeight="true" outlineLevel="0" collapsed="false">
      <c r="B16" s="25" t="s">
        <v>78</v>
      </c>
      <c r="C16" s="12" t="s">
        <v>79</v>
      </c>
      <c r="D16" s="12" t="s">
        <v>29</v>
      </c>
      <c r="E16" s="12" t="s">
        <v>38</v>
      </c>
      <c r="F16" s="12" t="s">
        <v>26</v>
      </c>
      <c r="G16" s="25" t="s">
        <v>65</v>
      </c>
      <c r="H16" s="25" t="s">
        <v>59</v>
      </c>
      <c r="I16" s="25" t="s">
        <v>67</v>
      </c>
      <c r="J16" s="14" t="n">
        <v>180</v>
      </c>
    </row>
    <row r="17" customFormat="false" ht="19.5" hidden="false" customHeight="true" outlineLevel="0" collapsed="false">
      <c r="B17" s="26" t="s">
        <v>80</v>
      </c>
      <c r="C17" s="16" t="s">
        <v>81</v>
      </c>
      <c r="D17" s="16" t="s">
        <v>31</v>
      </c>
      <c r="E17" s="16" t="s">
        <v>34</v>
      </c>
      <c r="F17" s="16" t="s">
        <v>26</v>
      </c>
      <c r="G17" s="26" t="s">
        <v>58</v>
      </c>
      <c r="H17" s="26" t="s">
        <v>66</v>
      </c>
      <c r="I17" s="26" t="s">
        <v>67</v>
      </c>
      <c r="J17" s="18" t="n">
        <v>250</v>
      </c>
    </row>
    <row r="18" customFormat="false" ht="19.5" hidden="false" customHeight="true" outlineLevel="0" collapsed="false">
      <c r="B18" s="25" t="s">
        <v>82</v>
      </c>
      <c r="C18" s="12" t="s">
        <v>83</v>
      </c>
      <c r="D18" s="12" t="s">
        <v>30</v>
      </c>
      <c r="E18" s="12" t="s">
        <v>37</v>
      </c>
      <c r="F18" s="12" t="s">
        <v>24</v>
      </c>
      <c r="G18" s="25" t="s">
        <v>55</v>
      </c>
      <c r="H18" s="25" t="s">
        <v>55</v>
      </c>
      <c r="I18" s="25" t="s">
        <v>55</v>
      </c>
      <c r="J18" s="14" t="n">
        <v>220</v>
      </c>
    </row>
    <row r="19" customFormat="false" ht="19.5" hidden="false" customHeight="true" outlineLevel="0" collapsed="false">
      <c r="B19" s="26" t="s">
        <v>84</v>
      </c>
      <c r="C19" s="16" t="s">
        <v>85</v>
      </c>
      <c r="D19" s="16" t="s">
        <v>32</v>
      </c>
      <c r="E19" s="16" t="s">
        <v>35</v>
      </c>
      <c r="F19" s="16" t="s">
        <v>25</v>
      </c>
      <c r="G19" s="26" t="s">
        <v>55</v>
      </c>
      <c r="H19" s="26" t="s">
        <v>55</v>
      </c>
      <c r="I19" s="26" t="s">
        <v>55</v>
      </c>
      <c r="J19" s="18" t="n">
        <v>480</v>
      </c>
    </row>
    <row r="20" customFormat="false" ht="24" hidden="false" customHeight="true" outlineLevel="0" collapsed="false">
      <c r="B20" s="27" t="s">
        <v>86</v>
      </c>
      <c r="C20" s="27"/>
      <c r="D20" s="27"/>
      <c r="E20" s="27"/>
      <c r="F20" s="27"/>
      <c r="G20" s="27"/>
      <c r="H20" s="27"/>
      <c r="I20" s="27"/>
      <c r="J20" s="22" t="n">
        <f aca="false">SUM(J8:J19)</f>
        <v>3570</v>
      </c>
    </row>
    <row r="22" customFormat="false" ht="15" hidden="false" customHeight="true" outlineLevel="0" collapsed="false">
      <c r="B22" s="24" t="s">
        <v>87</v>
      </c>
    </row>
  </sheetData>
  <autoFilter ref="B7:J19"/>
  <mergeCells count="6">
    <mergeCell ref="B1:J1"/>
    <mergeCell ref="B2:J2"/>
    <mergeCell ref="B3:J3"/>
    <mergeCell ref="B4:J4"/>
    <mergeCell ref="B6:J6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2.99"/>
    <col collapsed="false" customWidth="true" hidden="false" outlineLevel="0" max="2" min="2" style="1" width="26"/>
    <col collapsed="false" customWidth="true" hidden="false" outlineLevel="0" max="6" min="3" style="1" width="19.99"/>
  </cols>
  <sheetData>
    <row r="1" customFormat="false" ht="34.5" hidden="false" customHeight="true" outlineLevel="0" collapsed="false">
      <c r="B1" s="2" t="s">
        <v>88</v>
      </c>
      <c r="C1" s="2"/>
      <c r="D1" s="2"/>
      <c r="E1" s="2"/>
      <c r="F1" s="2"/>
    </row>
    <row r="2" customFormat="false" ht="19.5" hidden="false" customHeight="true" outlineLevel="0" collapsed="false">
      <c r="B2" s="3" t="s">
        <v>89</v>
      </c>
      <c r="C2" s="3"/>
      <c r="D2" s="3"/>
      <c r="E2" s="3"/>
      <c r="F2" s="3"/>
    </row>
    <row r="3" customFormat="false" ht="18" hidden="false" customHeight="true" outlineLevel="0" collapsed="false">
      <c r="B3" s="4" t="s">
        <v>90</v>
      </c>
      <c r="C3" s="4"/>
      <c r="D3" s="4"/>
      <c r="E3" s="4"/>
      <c r="F3" s="4"/>
    </row>
    <row r="4" customFormat="false" ht="4.5" hidden="false" customHeight="true" outlineLevel="0" collapsed="false">
      <c r="B4" s="5"/>
      <c r="C4" s="5"/>
      <c r="D4" s="5"/>
      <c r="E4" s="5"/>
      <c r="F4" s="5"/>
    </row>
    <row r="6" customFormat="false" ht="27.75" hidden="false" customHeight="true" outlineLevel="0" collapsed="false">
      <c r="B6" s="6" t="s">
        <v>91</v>
      </c>
      <c r="C6" s="6"/>
      <c r="D6" s="6"/>
      <c r="E6" s="6"/>
    </row>
    <row r="7" customFormat="false" ht="30" hidden="false" customHeight="true" outlineLevel="0" collapsed="false">
      <c r="B7" s="7" t="s">
        <v>20</v>
      </c>
      <c r="C7" s="7" t="s">
        <v>21</v>
      </c>
      <c r="D7" s="7" t="s">
        <v>22</v>
      </c>
      <c r="E7" s="7" t="s">
        <v>92</v>
      </c>
    </row>
    <row r="8" customFormat="false" ht="19.5" hidden="false" customHeight="true" outlineLevel="0" collapsed="false">
      <c r="B8" s="12" t="s">
        <v>58</v>
      </c>
      <c r="C8" s="13" t="n">
        <f aca="false">COUNTIF(Atendimentos!$G$8:$G$19,$B8)</f>
        <v>2</v>
      </c>
      <c r="D8" s="14" t="n">
        <f aca="false">SUMIF(Atendimentos!$G$8:$G$19,$B8,Atendimentos!$J$8:$J$19)</f>
        <v>900</v>
      </c>
      <c r="E8" s="15" t="n">
        <f aca="false">IFERROR(D8/$D$11,0)</f>
        <v>0.548780487804878</v>
      </c>
    </row>
    <row r="9" customFormat="false" ht="19.5" hidden="false" customHeight="true" outlineLevel="0" collapsed="false">
      <c r="B9" s="16" t="s">
        <v>70</v>
      </c>
      <c r="C9" s="17" t="n">
        <f aca="false">COUNTIF(Atendimentos!$G$8:$G$19,$B9)</f>
        <v>1</v>
      </c>
      <c r="D9" s="18" t="n">
        <f aca="false">SUMIF(Atendimentos!$G$8:$G$19,$B9,Atendimentos!$J$8:$J$19)</f>
        <v>250</v>
      </c>
      <c r="E9" s="19" t="n">
        <f aca="false">IFERROR(D9/$D$11,0)</f>
        <v>0.152439024390244</v>
      </c>
    </row>
    <row r="10" customFormat="false" ht="19.5" hidden="false" customHeight="true" outlineLevel="0" collapsed="false">
      <c r="B10" s="12" t="s">
        <v>65</v>
      </c>
      <c r="C10" s="13" t="n">
        <f aca="false">COUNTIF(Atendimentos!$G$8:$G$19,$B10)</f>
        <v>2</v>
      </c>
      <c r="D10" s="14" t="n">
        <f aca="false">SUMIF(Atendimentos!$G$8:$G$19,$B10,Atendimentos!$J$8:$J$19)</f>
        <v>490</v>
      </c>
      <c r="E10" s="15" t="n">
        <f aca="false">IFERROR(D10/$D$11,0)</f>
        <v>0.298780487804878</v>
      </c>
    </row>
    <row r="11" customFormat="false" ht="21.75" hidden="false" customHeight="true" outlineLevel="0" collapsed="false">
      <c r="B11" s="20" t="s">
        <v>93</v>
      </c>
      <c r="C11" s="21" t="n">
        <f aca="false">SUM(C8:C10)</f>
        <v>5</v>
      </c>
      <c r="D11" s="22" t="n">
        <f aca="false">SUM(D8:D10)</f>
        <v>1640</v>
      </c>
      <c r="E11" s="23" t="n">
        <f aca="false">IFERROR(SUM(E8:E10),0)</f>
        <v>1</v>
      </c>
    </row>
    <row r="14" customFormat="false" ht="27.75" hidden="false" customHeight="true" outlineLevel="0" collapsed="false">
      <c r="B14" s="6" t="s">
        <v>94</v>
      </c>
      <c r="C14" s="6"/>
      <c r="D14" s="6"/>
      <c r="E14" s="6"/>
    </row>
    <row r="15" customFormat="false" ht="30" hidden="false" customHeight="true" outlineLevel="0" collapsed="false">
      <c r="B15" s="7" t="s">
        <v>20</v>
      </c>
      <c r="C15" s="7" t="s">
        <v>21</v>
      </c>
      <c r="D15" s="7" t="s">
        <v>22</v>
      </c>
      <c r="E15" s="7" t="s">
        <v>92</v>
      </c>
    </row>
    <row r="16" customFormat="false" ht="19.5" hidden="false" customHeight="true" outlineLevel="0" collapsed="false">
      <c r="B16" s="12" t="s">
        <v>59</v>
      </c>
      <c r="C16" s="13" t="n">
        <f aca="false">COUNTIF(Atendimentos!$H$8:$H$19,$B16)</f>
        <v>3</v>
      </c>
      <c r="D16" s="14" t="n">
        <f aca="false">SUMIF(Atendimentos!$H$8:$H$19,$B16,Atendimentos!$J$8:$J$19)</f>
        <v>1080</v>
      </c>
      <c r="E16" s="15" t="n">
        <f aca="false">IFERROR(D16/$D$18,0)</f>
        <v>0.658536585365854</v>
      </c>
    </row>
    <row r="17" customFormat="false" ht="19.5" hidden="false" customHeight="true" outlineLevel="0" collapsed="false">
      <c r="B17" s="16" t="s">
        <v>66</v>
      </c>
      <c r="C17" s="17" t="n">
        <f aca="false">COUNTIF(Atendimentos!$H$8:$H$19,$B17)</f>
        <v>2</v>
      </c>
      <c r="D17" s="18" t="n">
        <f aca="false">SUMIF(Atendimentos!$H$8:$H$19,$B17,Atendimentos!$J$8:$J$19)</f>
        <v>560</v>
      </c>
      <c r="E17" s="19" t="n">
        <f aca="false">IFERROR(D17/$D$18,0)</f>
        <v>0.341463414634146</v>
      </c>
    </row>
    <row r="18" customFormat="false" ht="21.75" hidden="false" customHeight="true" outlineLevel="0" collapsed="false">
      <c r="B18" s="20" t="s">
        <v>93</v>
      </c>
      <c r="C18" s="21" t="n">
        <f aca="false">SUM(C16:C17)</f>
        <v>5</v>
      </c>
      <c r="D18" s="22" t="n">
        <f aca="false">SUM(D16:D17)</f>
        <v>1640</v>
      </c>
      <c r="E18" s="23" t="n">
        <f aca="false">IFERROR(SUM(E16:E17),0)</f>
        <v>1</v>
      </c>
    </row>
    <row r="20" customFormat="false" ht="15" hidden="false" customHeight="true" outlineLevel="0" collapsed="false">
      <c r="B20" s="24" t="s">
        <v>95</v>
      </c>
    </row>
  </sheetData>
  <mergeCells count="6">
    <mergeCell ref="B1:F1"/>
    <mergeCell ref="B2:F2"/>
    <mergeCell ref="B3:F3"/>
    <mergeCell ref="B4:F4"/>
    <mergeCell ref="B6:E6"/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2.99"/>
    <col collapsed="false" customWidth="true" hidden="false" outlineLevel="0" max="2" min="2" style="1" width="30.02"/>
    <col collapsed="false" customWidth="true" hidden="false" outlineLevel="0" max="3" min="3" style="1" width="19"/>
    <col collapsed="false" customWidth="true" hidden="false" outlineLevel="0" max="4" min="4" style="1" width="17.01"/>
    <col collapsed="false" customWidth="true" hidden="false" outlineLevel="0" max="5" min="5" style="1" width="14.99"/>
    <col collapsed="false" customWidth="true" hidden="false" outlineLevel="0" max="6" min="6" style="1" width="13.99"/>
    <col collapsed="false" customWidth="true" hidden="false" outlineLevel="0" max="8" min="7" style="1" width="19.99"/>
  </cols>
  <sheetData>
    <row r="1" customFormat="false" ht="34.5" hidden="false" customHeight="true" outlineLevel="0" collapsed="false">
      <c r="B1" s="2" t="s">
        <v>96</v>
      </c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B2" s="3" t="s">
        <v>97</v>
      </c>
      <c r="C2" s="3"/>
      <c r="D2" s="3"/>
      <c r="E2" s="3"/>
      <c r="F2" s="3"/>
      <c r="G2" s="3"/>
      <c r="H2" s="3"/>
    </row>
    <row r="3" customFormat="false" ht="18" hidden="false" customHeight="true" outlineLevel="0" collapsed="false">
      <c r="B3" s="4" t="s">
        <v>98</v>
      </c>
      <c r="C3" s="4"/>
      <c r="D3" s="4"/>
      <c r="E3" s="4"/>
      <c r="F3" s="4"/>
      <c r="G3" s="4"/>
      <c r="H3" s="4"/>
    </row>
    <row r="4" customFormat="false" ht="4.5" hidden="false" customHeight="true" outlineLevel="0" collapsed="false">
      <c r="B4" s="5"/>
      <c r="C4" s="5"/>
      <c r="D4" s="5"/>
      <c r="E4" s="5"/>
      <c r="F4" s="5"/>
      <c r="G4" s="5"/>
      <c r="H4" s="5"/>
    </row>
    <row r="6" customFormat="false" ht="27.75" hidden="false" customHeight="true" outlineLevel="0" collapsed="false">
      <c r="B6" s="6" t="s">
        <v>99</v>
      </c>
      <c r="C6" s="6"/>
      <c r="D6" s="6"/>
      <c r="E6" s="6"/>
      <c r="F6" s="6"/>
      <c r="G6" s="6"/>
      <c r="H6" s="6"/>
    </row>
    <row r="7" customFormat="false" ht="30" hidden="false" customHeight="true" outlineLevel="0" collapsed="false">
      <c r="B7" s="7" t="s">
        <v>45</v>
      </c>
      <c r="C7" s="7" t="s">
        <v>49</v>
      </c>
      <c r="D7" s="7" t="s">
        <v>100</v>
      </c>
      <c r="E7" s="7" t="s">
        <v>101</v>
      </c>
      <c r="F7" s="7" t="s">
        <v>102</v>
      </c>
      <c r="G7" s="7" t="s">
        <v>103</v>
      </c>
      <c r="H7" s="7" t="s">
        <v>104</v>
      </c>
    </row>
    <row r="8" customFormat="false" ht="19.5" hidden="false" customHeight="true" outlineLevel="0" collapsed="false">
      <c r="B8" s="12" t="s">
        <v>57</v>
      </c>
      <c r="C8" s="12" t="s">
        <v>58</v>
      </c>
      <c r="D8" s="25" t="s">
        <v>105</v>
      </c>
      <c r="E8" s="25" t="s">
        <v>106</v>
      </c>
      <c r="F8" s="25" t="n">
        <v>3</v>
      </c>
      <c r="G8" s="11" t="n">
        <f aca="false">ROUND(Atendimentos!$J$9/3,2)</f>
        <v>216.67</v>
      </c>
      <c r="H8" s="28" t="n">
        <f aca="false">EDATE(DATE(2026,9,2),1)</f>
        <v>46297</v>
      </c>
    </row>
    <row r="9" customFormat="false" ht="19.5" hidden="false" customHeight="true" outlineLevel="0" collapsed="false">
      <c r="B9" s="12" t="s">
        <v>57</v>
      </c>
      <c r="C9" s="12" t="s">
        <v>58</v>
      </c>
      <c r="D9" s="25" t="s">
        <v>105</v>
      </c>
      <c r="E9" s="25" t="s">
        <v>107</v>
      </c>
      <c r="F9" s="25" t="n">
        <v>3</v>
      </c>
      <c r="G9" s="11" t="n">
        <f aca="false">ROUND(Atendimentos!$J$9/3,2)</f>
        <v>216.67</v>
      </c>
      <c r="H9" s="28" t="n">
        <f aca="false">EDATE(DATE(2026,9,2),2)</f>
        <v>46328</v>
      </c>
    </row>
    <row r="10" customFormat="false" ht="19.5" hidden="false" customHeight="true" outlineLevel="0" collapsed="false">
      <c r="B10" s="12" t="s">
        <v>57</v>
      </c>
      <c r="C10" s="12" t="s">
        <v>58</v>
      </c>
      <c r="D10" s="25" t="s">
        <v>105</v>
      </c>
      <c r="E10" s="25" t="s">
        <v>108</v>
      </c>
      <c r="F10" s="25" t="n">
        <v>3</v>
      </c>
      <c r="G10" s="11" t="n">
        <f aca="false">Atendimentos!$J$9-SUM(G8:G9)</f>
        <v>216.66</v>
      </c>
      <c r="H10" s="28" t="n">
        <f aca="false">EDATE(DATE(2026,9,2),3)</f>
        <v>46358</v>
      </c>
    </row>
    <row r="11" customFormat="false" ht="19.5" hidden="false" customHeight="true" outlineLevel="0" collapsed="false">
      <c r="B11" s="16" t="s">
        <v>69</v>
      </c>
      <c r="C11" s="16" t="s">
        <v>70</v>
      </c>
      <c r="D11" s="26" t="s">
        <v>109</v>
      </c>
      <c r="E11" s="26" t="s">
        <v>106</v>
      </c>
      <c r="F11" s="26" t="n">
        <v>2</v>
      </c>
      <c r="G11" s="29" t="n">
        <f aca="false">ROUND(Atendimentos!$J$12/2,2)</f>
        <v>125</v>
      </c>
      <c r="H11" s="30" t="n">
        <f aca="false">EDATE(DATE(2026,9,2),1)</f>
        <v>46297</v>
      </c>
    </row>
    <row r="12" customFormat="false" ht="19.5" hidden="false" customHeight="true" outlineLevel="0" collapsed="false">
      <c r="B12" s="16" t="s">
        <v>69</v>
      </c>
      <c r="C12" s="16" t="s">
        <v>70</v>
      </c>
      <c r="D12" s="26" t="s">
        <v>109</v>
      </c>
      <c r="E12" s="26" t="s">
        <v>107</v>
      </c>
      <c r="F12" s="26" t="n">
        <v>2</v>
      </c>
      <c r="G12" s="29" t="n">
        <f aca="false">Atendimentos!$J$12-SUM(G11:G11)</f>
        <v>125</v>
      </c>
      <c r="H12" s="30" t="n">
        <f aca="false">EDATE(DATE(2026,9,2),2)</f>
        <v>46328</v>
      </c>
    </row>
    <row r="13" customFormat="false" ht="19.5" hidden="false" customHeight="true" outlineLevel="0" collapsed="false">
      <c r="B13" s="12" t="s">
        <v>79</v>
      </c>
      <c r="C13" s="12" t="s">
        <v>65</v>
      </c>
      <c r="D13" s="25" t="s">
        <v>110</v>
      </c>
      <c r="E13" s="25" t="s">
        <v>106</v>
      </c>
      <c r="F13" s="25" t="n">
        <v>1</v>
      </c>
      <c r="G13" s="11" t="n">
        <f aca="false">Atendimentos!$J$16</f>
        <v>180</v>
      </c>
      <c r="H13" s="28" t="n">
        <f aca="false">EDATE(DATE(2026,9,2),1)</f>
        <v>46297</v>
      </c>
    </row>
    <row r="14" customFormat="false" ht="24" hidden="false" customHeight="true" outlineLevel="0" collapsed="false">
      <c r="B14" s="27" t="s">
        <v>111</v>
      </c>
      <c r="C14" s="27"/>
      <c r="D14" s="27"/>
      <c r="E14" s="27"/>
      <c r="F14" s="27"/>
      <c r="G14" s="22" t="n">
        <f aca="false">SUM(G8:G13)</f>
        <v>1080</v>
      </c>
      <c r="H14" s="31"/>
    </row>
    <row r="16" customFormat="false" ht="27.75" hidden="false" customHeight="true" outlineLevel="0" collapsed="false">
      <c r="B16" s="6" t="s">
        <v>112</v>
      </c>
      <c r="C16" s="6"/>
      <c r="D16" s="6"/>
      <c r="E16" s="6"/>
      <c r="F16" s="6"/>
    </row>
    <row r="17" customFormat="false" ht="30" hidden="false" customHeight="true" outlineLevel="0" collapsed="false">
      <c r="B17" s="7" t="s">
        <v>45</v>
      </c>
      <c r="C17" s="7" t="s">
        <v>113</v>
      </c>
      <c r="D17" s="7" t="s">
        <v>114</v>
      </c>
      <c r="E17" s="7" t="s">
        <v>115</v>
      </c>
      <c r="F17" s="7" t="s">
        <v>116</v>
      </c>
    </row>
    <row r="18" customFormat="false" ht="19.5" hidden="false" customHeight="true" outlineLevel="0" collapsed="false">
      <c r="B18" s="12" t="s">
        <v>57</v>
      </c>
      <c r="C18" s="14" t="n">
        <f aca="false">Atendimentos!$J$9</f>
        <v>650</v>
      </c>
      <c r="D18" s="14" t="n">
        <f aca="false">SUM(G8:G10)</f>
        <v>650</v>
      </c>
      <c r="E18" s="14" t="n">
        <f aca="false">C18-D18</f>
        <v>0</v>
      </c>
      <c r="F18" s="25" t="str">
        <f aca="false">IF(ROUND(E18,2)=0,"OK","Verificar")</f>
        <v>OK</v>
      </c>
    </row>
    <row r="19" customFormat="false" ht="19.5" hidden="false" customHeight="true" outlineLevel="0" collapsed="false">
      <c r="B19" s="16" t="s">
        <v>69</v>
      </c>
      <c r="C19" s="18" t="n">
        <f aca="false">Atendimentos!$J$12</f>
        <v>250</v>
      </c>
      <c r="D19" s="18" t="n">
        <f aca="false">SUM(G11:G12)</f>
        <v>250</v>
      </c>
      <c r="E19" s="18" t="n">
        <f aca="false">C19-D19</f>
        <v>0</v>
      </c>
      <c r="F19" s="26" t="str">
        <f aca="false">IF(ROUND(E19,2)=0,"OK","Verificar")</f>
        <v>OK</v>
      </c>
    </row>
    <row r="20" customFormat="false" ht="19.5" hidden="false" customHeight="true" outlineLevel="0" collapsed="false">
      <c r="B20" s="12" t="s">
        <v>79</v>
      </c>
      <c r="C20" s="14" t="n">
        <f aca="false">Atendimentos!$J$16</f>
        <v>180</v>
      </c>
      <c r="D20" s="14" t="n">
        <f aca="false">SUM(G13:G13)</f>
        <v>180</v>
      </c>
      <c r="E20" s="14" t="n">
        <f aca="false">C20-D20</f>
        <v>0</v>
      </c>
      <c r="F20" s="25" t="str">
        <f aca="false">IF(ROUND(E20,2)=0,"OK","Verificar")</f>
        <v>OK</v>
      </c>
    </row>
    <row r="22" customFormat="false" ht="27.75" hidden="false" customHeight="true" outlineLevel="0" collapsed="false">
      <c r="B22" s="6" t="s">
        <v>117</v>
      </c>
      <c r="C22" s="6"/>
      <c r="D22" s="6"/>
      <c r="E22" s="6"/>
    </row>
    <row r="23" customFormat="false" ht="30" hidden="false" customHeight="true" outlineLevel="0" collapsed="false">
      <c r="B23" s="7" t="s">
        <v>118</v>
      </c>
      <c r="C23" s="7" t="s">
        <v>51</v>
      </c>
      <c r="D23" s="7" t="s">
        <v>119</v>
      </c>
      <c r="E23" s="7" t="s">
        <v>120</v>
      </c>
    </row>
    <row r="24" customFormat="false" ht="19.5" hidden="false" customHeight="true" outlineLevel="0" collapsed="false">
      <c r="B24" s="12" t="s">
        <v>121</v>
      </c>
      <c r="C24" s="13" t="n">
        <f aca="false">COUNTIFS($H$8:$H$13,"&gt;="&amp;DATE(2026,10,1),$H$8:$H$13,"&lt;="&amp;EOMONTH(DATE(2026,10,1),0))</f>
        <v>3</v>
      </c>
      <c r="D24" s="14" t="n">
        <f aca="false">SUMIFS($G$8:$G$13,$H$8:$H$13,"&gt;="&amp;DATE(2026,10,1),$H$8:$H$13,"&lt;="&amp;EOMONTH(DATE(2026,10,1),0))</f>
        <v>521.67</v>
      </c>
      <c r="E24" s="15" t="n">
        <f aca="false">IFERROR(D24/$D$27,0)</f>
        <v>0.483027777777778</v>
      </c>
    </row>
    <row r="25" customFormat="false" ht="19.5" hidden="false" customHeight="true" outlineLevel="0" collapsed="false">
      <c r="B25" s="16" t="s">
        <v>122</v>
      </c>
      <c r="C25" s="17" t="n">
        <f aca="false">COUNTIFS($H$8:$H$13,"&gt;="&amp;DATE(2026,11,1),$H$8:$H$13,"&lt;="&amp;EOMONTH(DATE(2026,11,1),0))</f>
        <v>2</v>
      </c>
      <c r="D25" s="18" t="n">
        <f aca="false">SUMIFS($G$8:$G$13,$H$8:$H$13,"&gt;="&amp;DATE(2026,11,1),$H$8:$H$13,"&lt;="&amp;EOMONTH(DATE(2026,11,1),0))</f>
        <v>341.67</v>
      </c>
      <c r="E25" s="19" t="n">
        <f aca="false">IFERROR(D25/$D$27,0)</f>
        <v>0.316361111111111</v>
      </c>
    </row>
    <row r="26" customFormat="false" ht="19.5" hidden="false" customHeight="true" outlineLevel="0" collapsed="false">
      <c r="B26" s="12" t="s">
        <v>123</v>
      </c>
      <c r="C26" s="13" t="n">
        <f aca="false">COUNTIFS($H$8:$H$13,"&gt;="&amp;DATE(2026,12,1),$H$8:$H$13,"&lt;="&amp;EOMONTH(DATE(2026,12,1),0))</f>
        <v>1</v>
      </c>
      <c r="D26" s="14" t="n">
        <f aca="false">SUMIFS($G$8:$G$13,$H$8:$H$13,"&gt;="&amp;DATE(2026,12,1),$H$8:$H$13,"&lt;="&amp;EOMONTH(DATE(2026,12,1),0))</f>
        <v>216.66</v>
      </c>
      <c r="E26" s="15" t="n">
        <f aca="false">IFERROR(D26/$D$27,0)</f>
        <v>0.200611111111111</v>
      </c>
    </row>
    <row r="27" customFormat="false" ht="21.75" hidden="false" customHeight="true" outlineLevel="0" collapsed="false">
      <c r="B27" s="20" t="s">
        <v>27</v>
      </c>
      <c r="C27" s="21" t="n">
        <f aca="false">SUM(C24:C26)</f>
        <v>6</v>
      </c>
      <c r="D27" s="22" t="n">
        <f aca="false">SUM(D24:D26)</f>
        <v>1080</v>
      </c>
      <c r="E27" s="23" t="n">
        <f aca="false">IFERROR(SUM(E24:E26),0)</f>
        <v>1</v>
      </c>
    </row>
    <row r="29" customFormat="false" ht="15" hidden="false" customHeight="true" outlineLevel="0" collapsed="false">
      <c r="B29" s="24" t="s">
        <v>124</v>
      </c>
    </row>
  </sheetData>
  <mergeCells count="8">
    <mergeCell ref="B1:H1"/>
    <mergeCell ref="B2:H2"/>
    <mergeCell ref="B3:H3"/>
    <mergeCell ref="B4:H4"/>
    <mergeCell ref="B6:H6"/>
    <mergeCell ref="B14:F14"/>
    <mergeCell ref="B16:F16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2026-09-01T22:26:09Z</dcterms:created>
  <dc:creator>openpyxl</dc:creator>
  <dc:description/>
  <dc:language>en-US</dc:language>
  <cp:lastModifiedBy/>
  <dcterms:modified xsi:type="dcterms:W3CDTF">2026-09-02T06:26:15Z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