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 x Forma Pagto" sheetId="1" state="visible" r:id="rId1"/>
    <sheet xmlns:r="http://schemas.openxmlformats.org/officeDocument/2006/relationships" name="Cartões por Data" sheetId="2" state="visible" r:id="rId2"/>
    <sheet xmlns:r="http://schemas.openxmlformats.org/officeDocument/2006/relationships" name="Lançamentos" sheetId="3" state="visible" r:id="rId3"/>
  </sheets>
  <definedNames>
    <definedName name="_xlnm._FilterDatabase" localSheetId="2" hidden="1">'Lançamentos'!$B$7:$L$49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 &quot;#,##0.00;[RED]&quot;-R$ &quot;#,##0.00"/>
    <numFmt numFmtId="166" formatCode="0.0%"/>
  </numFmts>
  <fonts count="1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11666B"/>
      <sz val="17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11666B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8ECED"/>
        <bgColor rgb="FFD9D9D9"/>
      </patternFill>
    </fill>
    <fill>
      <patternFill patternType="solid">
        <fgColor rgb="FF11666B"/>
        <bgColor rgb="FF225659"/>
      </patternFill>
    </fill>
    <fill>
      <patternFill patternType="solid">
        <fgColor rgb="FFF2F8F8"/>
        <bgColor rgb="FFFFFFFF"/>
      </patternFill>
    </fill>
  </fills>
  <borders count="7">
    <border>
      <left/>
      <right/>
      <top/>
      <bottom/>
      <diagonal/>
    </border>
    <border>
      <left style="thin">
        <color rgb="FFBBD4D6"/>
      </left>
      <right style="thin">
        <color rgb="FFBBD4D6"/>
      </right>
      <top style="thin">
        <color rgb="FFBBD4D6"/>
      </top>
      <bottom style="thin">
        <color rgb="FFBBD4D6"/>
      </bottom>
      <diagonal/>
    </border>
    <border>
      <left style="thin">
        <color rgb="FFBBD4D6"/>
      </left>
      <right style="thin">
        <color rgb="FFBBD4D6"/>
      </right>
      <top style="medium">
        <color rgb="FF11666B"/>
      </top>
      <bottom style="thin">
        <color rgb="FFBBD4D6"/>
      </bottom>
      <diagonal/>
    </border>
    <border>
      <left/>
      <right/>
      <top style="medium">
        <color rgb="FF11666B"/>
      </top>
      <bottom/>
      <diagonal/>
    </border>
    <border>
      <left/>
      <right style="thin">
        <color rgb="FFBBD4D6"/>
      </right>
      <top style="medium">
        <color rgb="FF11666B"/>
      </top>
      <bottom/>
      <diagonal/>
    </border>
    <border>
      <left/>
      <right/>
      <top style="medium">
        <color rgb="FF11666B"/>
      </top>
      <bottom style="thin">
        <color rgb="FFBBD4D6"/>
      </bottom>
      <diagonal/>
    </border>
    <border>
      <left/>
      <right style="thin">
        <color rgb="FFBBD4D6"/>
      </right>
      <top style="medium">
        <color rgb="FF11666B"/>
      </top>
      <bottom style="thin">
        <color rgb="FFBBD4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5" fontId="11" fillId="2" borderId="2" applyAlignment="1" pivotButton="0" quotePrefix="0" xfId="0">
      <alignment horizontal="right" vertical="center"/>
    </xf>
    <xf numFmtId="166" fontId="11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3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right" vertical="center"/>
    </xf>
    <xf numFmtId="0" fontId="0" fillId="2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5" fontId="11" fillId="2" borderId="2" applyAlignment="1" pivotButton="0" quotePrefix="0" xfId="0">
      <alignment horizontal="right" vertical="center"/>
    </xf>
    <xf numFmtId="166" fontId="11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3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0" fillId="2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1666B"/>
        </patternFill>
      </fill>
    </dxf>
    <dxf>
      <fill>
        <patternFill patternType="solid">
          <fgColor rgb="FFF2F8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666B"/>
      <rgbColor rgb="FFBBD4D6"/>
      <rgbColor rgb="FF878787"/>
      <rgbColor rgb="FF7A9CBE"/>
      <rgbColor rgb="FF993366"/>
      <rgbColor rgb="FFF2F8F8"/>
      <rgbColor rgb="FFD8ECED"/>
      <rgbColor rgb="FF660066"/>
      <rgbColor rgb="FFB8937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96669"/>
      <rgbColor rgb="FF0000FF"/>
      <rgbColor rgb="FF00CCFF"/>
      <rgbColor rgb="FFCCFFFF"/>
      <rgbColor rgb="FFCCFFCC"/>
      <rgbColor rgb="FFFFFF99"/>
      <rgbColor rgb="FF8EAE91"/>
      <rgbColor rgb="FFFF99CC"/>
      <rgbColor rgb="FFCC99FF"/>
      <rgbColor rgb="FFFFCC99"/>
      <rgbColor rgb="FF6483A7"/>
      <rgbColor rgb="FF33CCCC"/>
      <rgbColor rgb="FF99CC00"/>
      <rgbColor rgb="FFFFCC00"/>
      <rgbColor rgb="FFFF9900"/>
      <rgbColor rgb="FFFF6600"/>
      <rgbColor rgb="FF666666"/>
      <rgbColor rgb="FFA89BBE"/>
      <rgbColor rgb="FF225659"/>
      <rgbColor rgb="FF64888A"/>
      <rgbColor rgb="FF003300"/>
      <rgbColor rgb="FF333300"/>
      <rgbColor rgb="FF993300"/>
      <rgbColor rgb="FF993366"/>
      <rgbColor rgb="FF333399"/>
      <rgbColor rgb="FF1F4D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Recebimentos por Dia e Forma de Pagamento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'Data x Forma Pagto'!E7</f>
              <strCache>
                <ptCount val="1"/>
                <pt idx="0">
                  <v>Dinheiro</v>
                </pt>
              </strCache>
            </strRef>
          </tx>
          <spPr>
            <a:solidFill xmlns:a="http://schemas.openxmlformats.org/drawingml/2006/main">
              <a:srgbClr val="2C4C4D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'Data x Forma Pagto'!$B$8:$B$15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'Data x Forma Pagto'!$E$8:$E$15</f>
              <numCache>
                <formatCode>General</formatCode>
                <ptCount val="8"/>
                <pt idx="0">
                  <v>95</v>
                </pt>
                <pt idx="1">
                  <v>480</v>
                </pt>
                <pt idx="2">
                  <v>310</v>
                </pt>
                <pt idx="3">
                  <v>250</v>
                </pt>
                <pt idx="4">
                  <v>275</v>
                </pt>
                <pt idx="5">
                  <v>480</v>
                </pt>
                <pt idx="6">
                  <v>95</v>
                </pt>
                <pt idx="7">
                  <v>250</v>
                </pt>
              </numCache>
            </numRef>
          </val>
        </ser>
        <ser>
          <idx val="1"/>
          <order val="1"/>
          <tx>
            <strRef>
              <f>'Data x Forma Pagto'!F7</f>
              <strCache>
                <ptCount val="1"/>
                <pt idx="0">
                  <v>Pix</v>
                </pt>
              </strCache>
            </strRef>
          </tx>
          <spPr>
            <a:solidFill xmlns:a="http://schemas.openxmlformats.org/drawingml/2006/main">
              <a:srgbClr val="425D5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'Data x Forma Pagto'!$B$8:$B$15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'Data x Forma Pagto'!$F$8:$F$15</f>
              <numCache>
                <formatCode>General</formatCode>
                <ptCount val="8"/>
                <pt idx="0">
                  <v>250</v>
                </pt>
                <pt idx="1">
                  <v>405</v>
                </pt>
                <pt idx="2">
                  <v>790</v>
                </pt>
                <pt idx="3">
                  <v>430</v>
                </pt>
                <pt idx="4">
                  <v>250</v>
                </pt>
                <pt idx="5">
                  <v>345</v>
                </pt>
                <pt idx="6">
                  <v>560</v>
                </pt>
                <pt idx="7">
                  <v>480</v>
                </pt>
              </numCache>
            </numRef>
          </val>
        </ser>
        <ser>
          <idx val="2"/>
          <order val="2"/>
          <tx>
            <strRef>
              <f>'Data x Forma Pagto'!G7</f>
              <strCache>
                <ptCount val="1"/>
                <pt idx="0">
                  <v>Cartão Crédito</v>
                </pt>
              </strCache>
            </strRef>
          </tx>
          <spPr>
            <a:solidFill xmlns:a="http://schemas.openxmlformats.org/drawingml/2006/main">
              <a:srgbClr val="6B8182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'Data x Forma Pagto'!$B$8:$B$15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'Data x Forma Pagto'!$G$8:$G$15</f>
              <numCache>
                <formatCode>General</formatCode>
                <ptCount val="8"/>
                <pt idx="0">
                  <v>900</v>
                </pt>
                <pt idx="1">
                  <v>180</v>
                </pt>
                <pt idx="2">
                  <v>250</v>
                </pt>
                <pt idx="3">
                  <v>650</v>
                </pt>
                <pt idx="4">
                  <v>790</v>
                </pt>
                <pt idx="5">
                  <v>310</v>
                </pt>
                <pt idx="6">
                  <v>900</v>
                </pt>
                <pt idx="7">
                  <v>405</v>
                </pt>
              </numCache>
            </numRef>
          </val>
        </ser>
        <ser>
          <idx val="3"/>
          <order val="3"/>
          <tx>
            <strRef>
              <f>'Data x Forma Pagto'!H7</f>
              <strCache>
                <ptCount val="1"/>
                <pt idx="0">
                  <v>Cartão Débito</v>
                </pt>
              </strCache>
            </strRef>
          </tx>
          <spPr>
            <a:solidFill xmlns:a="http://schemas.openxmlformats.org/drawingml/2006/main">
              <a:srgbClr val="284445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'Data x Forma Pagto'!$B$8:$B$15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'Data x Forma Pagto'!$H$8:$H$15</f>
              <numCache>
                <formatCode>General</formatCode>
                <ptCount val="8"/>
                <pt idx="0">
                  <v>310</v>
                </pt>
                <pt idx="1">
                  <v>250</v>
                </pt>
                <pt idx="2">
                  <v>95</v>
                </pt>
                <pt idx="3">
                  <v>310</v>
                </pt>
                <pt idx="4">
                  <v>310</v>
                </pt>
                <pt idx="5">
                  <v>180</v>
                </pt>
                <pt idx="6">
                  <v>310</v>
                </pt>
                <pt idx="7">
                  <v>180</v>
                </pt>
              </numCache>
            </numRef>
          </val>
        </ser>
        <gapWidth val="150"/>
        <overlap val="100"/>
        <axId val="35662080"/>
        <axId val="3608882"/>
      </barChart>
      <catAx>
        <axId val="35662080"/>
        <scaling>
          <orientation val="minMax"/>
        </scaling>
        <delete val="0"/>
        <axPos val="b"/>
        <numFmt formatCode="dd/mm/yyyy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08882"/>
        <crosses val="autoZero"/>
        <auto val="1"/>
        <lblAlgn val="ctr"/>
        <lblOffset val="100"/>
        <noMultiLvlLbl val="0"/>
      </catAx>
      <valAx>
        <axId val="36088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;[RED]&quot;-R$ &quot;#,##0.00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6620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Participação de Cada Forma de Pagamento no Período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'Data x Forma Pagto'!D33</f>
              <strCache>
                <ptCount val="1"/>
                <pt idx="0">
                  <v>Valor total (R$)</v>
                </pt>
              </strCache>
            </strRef>
          </tx>
          <spPr>
            <a:solidFill xmlns:a="http://schemas.openxmlformats.org/drawingml/2006/main">
              <a:srgbClr val="718399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7A9CB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8937A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AE9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89BBE"/>
              </a:solidFill>
              <a:ln xmlns:a="http://schemas.openxmlformats.org/drawingml/2006/main" w="0">
                <a:noFill/>
                <a:prstDash val="solid"/>
              </a:ln>
            </spPr>
          </dPt>
          <cat>
            <strRef>
              <f>'Data x Forma Pagto'!$B$34:$B$37</f>
              <strCache>
                <ptCount val="4"/>
                <pt idx="0">
                  <v>Dinheiro</v>
                </pt>
                <pt idx="1">
                  <v>Pix</v>
                </pt>
                <pt idx="2">
                  <v>Cartão Crédito</v>
                </pt>
                <pt idx="3">
                  <v>Cartão Débito</v>
                </pt>
              </strCache>
            </strRef>
          </cat>
          <val>
            <numRef>
              <f>'Data x Forma Pagto'!$D$34:$D$37</f>
              <numCache>
                <formatCode>General</formatCode>
                <ptCount val="4"/>
                <pt idx="0">
                  <v>2235</v>
                </pt>
                <pt idx="1">
                  <v>3510</v>
                </pt>
                <pt idx="2">
                  <v>4385</v>
                </pt>
                <pt idx="3">
                  <v>1945</v>
                </pt>
              </numCache>
            </numRef>
          </val>
        </ser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Recebido por Dia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'Data x Forma Pagto'!I7</f>
              <strCache>
                <ptCount val="1"/>
                <pt idx="0">
                  <v>Total do dia</v>
                </pt>
              </strCache>
            </strRef>
          </tx>
          <spPr>
            <a:solidFill xmlns:a="http://schemas.openxmlformats.org/drawingml/2006/main">
              <a:srgbClr val="2C4C4D"/>
            </a:solidFill>
            <a:ln xmlns:a="http://schemas.openxmlformats.org/drawingml/2006/main" w="0">
              <a:noFill/>
              <a:prstDash val="solid"/>
            </a:ln>
          </spPr>
          <invertIfNegative val="0"/>
          <cat>
            <strRef>
              <f>'Data x Forma Pagto'!$B$8:$B$15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'Data x Forma Pagto'!$I$8:$I$15</f>
              <numCache>
                <formatCode>General</formatCode>
                <ptCount val="8"/>
                <pt idx="0">
                  <v>1555</v>
                </pt>
                <pt idx="1">
                  <v>1315</v>
                </pt>
                <pt idx="2">
                  <v>1445</v>
                </pt>
                <pt idx="3">
                  <v>1640</v>
                </pt>
                <pt idx="4">
                  <v>1625</v>
                </pt>
                <pt idx="5">
                  <v>1315</v>
                </pt>
                <pt idx="6">
                  <v>1865</v>
                </pt>
                <pt idx="7">
                  <v>1315</v>
                </pt>
              </numCache>
            </numRef>
          </val>
        </ser>
        <gapWidth val="150"/>
        <overlap val="0"/>
        <axId val="16950604"/>
        <axId val="46504582"/>
      </barChart>
      <catAx>
        <axId val="16950604"/>
        <scaling>
          <orientation val="minMax"/>
        </scaling>
        <delete val="0"/>
        <axPos val="b"/>
        <numFmt formatCode="dd/mm/yyyy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504582"/>
        <crosses val="autoZero"/>
        <auto val="1"/>
        <lblAlgn val="ctr"/>
        <lblOffset val="100"/>
        <noMultiLvlLbl val="0"/>
      </catAx>
      <valAx>
        <axId val="465045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.#,\K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95060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Cartões por Dia e Bandeira (R$)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'Cartões por Data'!C7</f>
              <strCache>
                <ptCount val="1"/>
                <pt idx="0">
                  <v>Visa</v>
                </pt>
              </strCache>
            </strRef>
          </tx>
          <spPr>
            <a:solidFill xmlns:a="http://schemas.openxmlformats.org/drawingml/2006/main">
              <a:srgbClr val="2C4C4D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'Cartões por Data'!$B$8:$B$15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'Cartões por Data'!$C$8:$C$15</f>
              <numCache>
                <formatCode>General</formatCode>
                <ptCount val="8"/>
                <pt idx="0">
                  <v>650</v>
                </pt>
                <pt idx="1">
                  <v>250</v>
                </pt>
                <pt idx="2">
                  <v>95</v>
                </pt>
                <pt idx="3">
                  <v>310</v>
                </pt>
                <pt idx="4">
                  <v>480</v>
                </pt>
                <pt idx="5">
                  <v>310</v>
                </pt>
                <pt idx="6">
                  <v>650</v>
                </pt>
                <pt idx="7">
                  <v>310</v>
                </pt>
              </numCache>
            </numRef>
          </val>
        </ser>
        <ser>
          <idx val="1"/>
          <order val="1"/>
          <tx>
            <strRef>
              <f>'Cartões por Data'!D7</f>
              <strCache>
                <ptCount val="1"/>
                <pt idx="0">
                  <v>Mastercard</v>
                </pt>
              </strCache>
            </strRef>
          </tx>
          <spPr>
            <a:solidFill xmlns:a="http://schemas.openxmlformats.org/drawingml/2006/main">
              <a:srgbClr val="6B8182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'Cartões por Data'!$B$8:$B$15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'Cartões por Data'!$D$8:$D$15</f>
              <numCache>
                <formatCode>General</formatCode>
                <ptCount val="8"/>
                <pt idx="0">
                  <v>250</v>
                </pt>
                <pt idx="1">
                  <v>0</v>
                </pt>
                <pt idx="2">
                  <v>250</v>
                </pt>
                <pt idx="3">
                  <v>0</v>
                </pt>
                <pt idx="4">
                  <v>310</v>
                </pt>
                <pt idx="5">
                  <v>180</v>
                </pt>
                <pt idx="6">
                  <v>310</v>
                </pt>
                <pt idx="7">
                  <v>95</v>
                </pt>
              </numCache>
            </numRef>
          </val>
        </ser>
        <ser>
          <idx val="2"/>
          <order val="2"/>
          <tx>
            <strRef>
              <f>'Cartões por Data'!E7</f>
              <strCache>
                <ptCount val="1"/>
                <pt idx="0">
                  <v>Elo</v>
                </pt>
              </strCache>
            </strRef>
          </tx>
          <spPr>
            <a:solidFill xmlns:a="http://schemas.openxmlformats.org/drawingml/2006/main">
              <a:srgbClr val="284445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cat>
            <strRef>
              <f>'Cartões por Data'!$B$8:$B$15</f>
              <strCache>
                <ptCount val="8"/>
                <pt idx="0">
                  <v>24/08/2026</v>
                </pt>
                <pt idx="1">
                  <v>25/08/2026</v>
                </pt>
                <pt idx="2">
                  <v>26/08/2026</v>
                </pt>
                <pt idx="3">
                  <v>27/08/2026</v>
                </pt>
                <pt idx="4">
                  <v>28/08/2026</v>
                </pt>
                <pt idx="5">
                  <v>31/08/2026</v>
                </pt>
                <pt idx="6">
                  <v>01/09/2026</v>
                </pt>
                <pt idx="7">
                  <v>02/09/2026</v>
                </pt>
              </strCache>
            </strRef>
          </cat>
          <val>
            <numRef>
              <f>'Cartões por Data'!$E$8:$E$15</f>
              <numCache>
                <formatCode>General</formatCode>
                <ptCount val="8"/>
                <pt idx="0">
                  <v>310</v>
                </pt>
                <pt idx="1">
                  <v>180</v>
                </pt>
                <pt idx="2">
                  <v>0</v>
                </pt>
                <pt idx="3">
                  <v>650</v>
                </pt>
                <pt idx="4">
                  <v>310</v>
                </pt>
                <pt idx="5">
                  <v>0</v>
                </pt>
                <pt idx="6">
                  <v>250</v>
                </pt>
                <pt idx="7">
                  <v>180</v>
                </pt>
              </numCache>
            </numRef>
          </val>
        </ser>
        <gapWidth val="150"/>
        <overlap val="100"/>
        <axId val="74340620"/>
        <axId val="35157025"/>
      </barChart>
      <catAx>
        <axId val="74340620"/>
        <scaling>
          <orientation val="minMax"/>
        </scaling>
        <delete val="0"/>
        <axPos val="b"/>
        <numFmt formatCode="dd/mm/yyyy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157025"/>
        <crosses val="autoZero"/>
        <auto val="1"/>
        <lblAlgn val="ctr"/>
        <lblOffset val="100"/>
        <noMultiLvlLbl val="0"/>
      </catAx>
      <valAx>
        <axId val="3515702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.00;[RED]&quot;-R$ &quot;#,##0.00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43406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12</col>
      <colOff>0</colOff>
      <row>5</row>
      <rowOff>0</rowOff>
    </from>
    <to>
      <col>24</col>
      <colOff>213840</colOff>
      <row>18</row>
      <rowOff>18720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12</col>
      <colOff>0</colOff>
      <row>26</row>
      <rowOff>0</rowOff>
    </from>
    <to>
      <col>19</col>
      <colOff>214560</colOff>
      <row>39</row>
      <rowOff>18720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22</col>
      <colOff>0</colOff>
      <row>26</row>
      <rowOff>0</rowOff>
    </from>
    <to>
      <col>29</col>
      <colOff>214200</colOff>
      <row>39</row>
      <rowOff>18720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9</col>
      <colOff>0</colOff>
      <row>5</row>
      <rowOff>0</rowOff>
    </from>
    <to>
      <col>20</col>
      <colOff>105840</colOff>
      <row>18</row>
      <rowOff>18720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953125" defaultRowHeight="15" zeroHeight="0" outlineLevelRow="0"/>
  <cols>
    <col width="2.99" customWidth="1" style="37" min="1" max="1"/>
    <col width="19.01" customWidth="1" style="37" min="2" max="2"/>
    <col width="17.99" customWidth="1" style="37" min="3" max="3"/>
    <col width="19.01" customWidth="1" style="37" min="4" max="4"/>
    <col width="20" customWidth="1" style="37" min="5" max="9"/>
    <col width="16" customWidth="1" style="38" min="6" max="6"/>
    <col width="16" customWidth="1" style="38" min="7" max="7"/>
    <col width="16" customWidth="1" style="38" min="8" max="8"/>
    <col width="16" customWidth="1" style="38" min="9" max="9"/>
    <col width="17.99" customWidth="1" style="37" min="10" max="10"/>
    <col width="20" customWidth="1" style="37" min="11" max="11"/>
  </cols>
  <sheetData>
    <row r="1" ht="34.5" customHeight="1" s="38">
      <c r="B1" s="39" t="inlineStr">
        <is>
          <t>Relatório por Data e Forma de Pagamento</t>
        </is>
      </c>
    </row>
    <row r="2" ht="19.5" customHeight="1" s="38">
      <c r="B2" s="40" t="inlineStr">
        <is>
          <t>SOFT Clínica de Oftalmologia  |  Período: 24/08/2026 a 02/09/2026  |  Valores em Reais (R$)</t>
        </is>
      </c>
    </row>
    <row r="3" ht="18" customHeight="1" s="38">
      <c r="B3" s="41" t="inlineStr">
        <is>
          <t>Cruzamento dia a dia dos recebimentos por forma de pagamento, com totais, participação e ticket médio.</t>
        </is>
      </c>
    </row>
    <row r="4" ht="4.5" customHeight="1" s="38">
      <c r="B4" s="42" t="n"/>
    </row>
    <row r="5"/>
    <row r="6" ht="27.75" customHeight="1" s="38">
      <c r="B6" s="43" t="inlineStr">
        <is>
          <t xml:space="preserve">  Matriz Diária — Valor Recebido por Forma de Pagamento (R$)</t>
        </is>
      </c>
    </row>
    <row r="7" ht="30" customHeight="1" s="38">
      <c r="B7" s="44" t="inlineStr">
        <is>
          <t>Data</t>
        </is>
      </c>
      <c r="C7" s="44" t="inlineStr">
        <is>
          <t>Dia da semana</t>
        </is>
      </c>
      <c r="D7" s="44" t="inlineStr">
        <is>
          <t>Atendimentos</t>
        </is>
      </c>
      <c r="E7" s="44" t="inlineStr">
        <is>
          <t>Dinheiro</t>
        </is>
      </c>
      <c r="F7" s="44" t="inlineStr">
        <is>
          <t>Pix</t>
        </is>
      </c>
      <c r="G7" s="44" t="inlineStr">
        <is>
          <t>Cartão Crédito</t>
        </is>
      </c>
      <c r="H7" s="44" t="inlineStr">
        <is>
          <t>Cartão Débito</t>
        </is>
      </c>
      <c r="I7" s="44" t="inlineStr">
        <is>
          <t>Total do dia</t>
        </is>
      </c>
      <c r="J7" s="44" t="inlineStr">
        <is>
          <t>% do período</t>
        </is>
      </c>
      <c r="K7" s="44" t="inlineStr">
        <is>
          <t>Ticket médio</t>
        </is>
      </c>
    </row>
    <row r="8" ht="19.5" customHeight="1" s="38">
      <c r="B8" s="45" t="n">
        <v>46258</v>
      </c>
      <c r="C8" s="46">
        <f>CHOOSE(WEEKDAY($B8),"Domingo","Segunda","Terça","Quarta","Quinta","Sexta","Sábado")</f>
        <v/>
      </c>
      <c r="D8" s="47">
        <f>COUNTIF(Lançamentos!$B$8:$B$49,$B8)</f>
        <v/>
      </c>
      <c r="E8" s="48">
        <f>SUMIFS(Lançamentos!$K$8:$K$49,Lançamentos!$B$8:$B$49,$B8,Lançamentos!$L$8:$L$49,"Dinheiro")</f>
        <v/>
      </c>
      <c r="F8" s="48">
        <f>SUMIFS(Lançamentos!$K$8:$K$49,Lançamentos!$B$8:$B$49,$B8,Lançamentos!$L$8:$L$49,"Pix")</f>
        <v/>
      </c>
      <c r="G8" s="48">
        <f>SUMIFS(Lançamentos!$K$8:$K$49,Lançamentos!$B$8:$B$49,$B8,Lançamentos!$L$8:$L$49,"Cartão Crédito")</f>
        <v/>
      </c>
      <c r="H8" s="48">
        <f>SUMIFS(Lançamentos!$K$8:$K$49,Lançamentos!$B$8:$B$49,$B8,Lançamentos!$L$8:$L$49,"Cartão Débito")</f>
        <v/>
      </c>
      <c r="I8" s="49">
        <f>SUM($E8:$H8)</f>
        <v/>
      </c>
      <c r="J8" s="50">
        <f>IF($I$16=0,0,$I8/$I$16)</f>
        <v/>
      </c>
      <c r="K8" s="48">
        <f>IF($D8=0,0,$I8/$D8)</f>
        <v/>
      </c>
    </row>
    <row r="9" ht="19.5" customHeight="1" s="38">
      <c r="B9" s="51" t="n">
        <v>46259</v>
      </c>
      <c r="C9" s="52">
        <f>CHOOSE(WEEKDAY($B9),"Domingo","Segunda","Terça","Quarta","Quinta","Sexta","Sábado")</f>
        <v/>
      </c>
      <c r="D9" s="53">
        <f>COUNTIF(Lançamentos!$B$8:$B$49,$B9)</f>
        <v/>
      </c>
      <c r="E9" s="54">
        <f>SUMIFS(Lançamentos!$K$8:$K$49,Lançamentos!$B$8:$B$49,$B9,Lançamentos!$L$8:$L$49,"Dinheiro")</f>
        <v/>
      </c>
      <c r="F9" s="54">
        <f>SUMIFS(Lançamentos!$K$8:$K$49,Lançamentos!$B$8:$B$49,$B9,Lançamentos!$L$8:$L$49,"Pix")</f>
        <v/>
      </c>
      <c r="G9" s="54">
        <f>SUMIFS(Lançamentos!$K$8:$K$49,Lançamentos!$B$8:$B$49,$B9,Lançamentos!$L$8:$L$49,"Cartão Crédito")</f>
        <v/>
      </c>
      <c r="H9" s="54">
        <f>SUMIFS(Lançamentos!$K$8:$K$49,Lançamentos!$B$8:$B$49,$B9,Lançamentos!$L$8:$L$49,"Cartão Débito")</f>
        <v/>
      </c>
      <c r="I9" s="55">
        <f>SUM($E9:$H9)</f>
        <v/>
      </c>
      <c r="J9" s="56">
        <f>IF($I$16=0,0,$I9/$I$16)</f>
        <v/>
      </c>
      <c r="K9" s="54">
        <f>IF($D9=0,0,$I9/$D9)</f>
        <v/>
      </c>
    </row>
    <row r="10" ht="19.5" customHeight="1" s="38">
      <c r="B10" s="45" t="n">
        <v>46260</v>
      </c>
      <c r="C10" s="46">
        <f>CHOOSE(WEEKDAY($B10),"Domingo","Segunda","Terça","Quarta","Quinta","Sexta","Sábado")</f>
        <v/>
      </c>
      <c r="D10" s="47">
        <f>COUNTIF(Lançamentos!$B$8:$B$49,$B10)</f>
        <v/>
      </c>
      <c r="E10" s="48">
        <f>SUMIFS(Lançamentos!$K$8:$K$49,Lançamentos!$B$8:$B$49,$B10,Lançamentos!$L$8:$L$49,"Dinheiro")</f>
        <v/>
      </c>
      <c r="F10" s="48">
        <f>SUMIFS(Lançamentos!$K$8:$K$49,Lançamentos!$B$8:$B$49,$B10,Lançamentos!$L$8:$L$49,"Pix")</f>
        <v/>
      </c>
      <c r="G10" s="48">
        <f>SUMIFS(Lançamentos!$K$8:$K$49,Lançamentos!$B$8:$B$49,$B10,Lançamentos!$L$8:$L$49,"Cartão Crédito")</f>
        <v/>
      </c>
      <c r="H10" s="48">
        <f>SUMIFS(Lançamentos!$K$8:$K$49,Lançamentos!$B$8:$B$49,$B10,Lançamentos!$L$8:$L$49,"Cartão Débito")</f>
        <v/>
      </c>
      <c r="I10" s="49">
        <f>SUM($E10:$H10)</f>
        <v/>
      </c>
      <c r="J10" s="50">
        <f>IF($I$16=0,0,$I10/$I$16)</f>
        <v/>
      </c>
      <c r="K10" s="48">
        <f>IF($D10=0,0,$I10/$D10)</f>
        <v/>
      </c>
    </row>
    <row r="11" ht="19.5" customHeight="1" s="38">
      <c r="B11" s="51" t="n">
        <v>46261</v>
      </c>
      <c r="C11" s="52">
        <f>CHOOSE(WEEKDAY($B11),"Domingo","Segunda","Terça","Quarta","Quinta","Sexta","Sábado")</f>
        <v/>
      </c>
      <c r="D11" s="53">
        <f>COUNTIF(Lançamentos!$B$8:$B$49,$B11)</f>
        <v/>
      </c>
      <c r="E11" s="54">
        <f>SUMIFS(Lançamentos!$K$8:$K$49,Lançamentos!$B$8:$B$49,$B11,Lançamentos!$L$8:$L$49,"Dinheiro")</f>
        <v/>
      </c>
      <c r="F11" s="54">
        <f>SUMIFS(Lançamentos!$K$8:$K$49,Lançamentos!$B$8:$B$49,$B11,Lançamentos!$L$8:$L$49,"Pix")</f>
        <v/>
      </c>
      <c r="G11" s="54">
        <f>SUMIFS(Lançamentos!$K$8:$K$49,Lançamentos!$B$8:$B$49,$B11,Lançamentos!$L$8:$L$49,"Cartão Crédito")</f>
        <v/>
      </c>
      <c r="H11" s="54">
        <f>SUMIFS(Lançamentos!$K$8:$K$49,Lançamentos!$B$8:$B$49,$B11,Lançamentos!$L$8:$L$49,"Cartão Débito")</f>
        <v/>
      </c>
      <c r="I11" s="55">
        <f>SUM($E11:$H11)</f>
        <v/>
      </c>
      <c r="J11" s="56">
        <f>IF($I$16=0,0,$I11/$I$16)</f>
        <v/>
      </c>
      <c r="K11" s="54">
        <f>IF($D11=0,0,$I11/$D11)</f>
        <v/>
      </c>
    </row>
    <row r="12" ht="19.5" customHeight="1" s="38">
      <c r="B12" s="45" t="n">
        <v>46262</v>
      </c>
      <c r="C12" s="46">
        <f>CHOOSE(WEEKDAY($B12),"Domingo","Segunda","Terça","Quarta","Quinta","Sexta","Sábado")</f>
        <v/>
      </c>
      <c r="D12" s="47">
        <f>COUNTIF(Lançamentos!$B$8:$B$49,$B12)</f>
        <v/>
      </c>
      <c r="E12" s="48">
        <f>SUMIFS(Lançamentos!$K$8:$K$49,Lançamentos!$B$8:$B$49,$B12,Lançamentos!$L$8:$L$49,"Dinheiro")</f>
        <v/>
      </c>
      <c r="F12" s="48">
        <f>SUMIFS(Lançamentos!$K$8:$K$49,Lançamentos!$B$8:$B$49,$B12,Lançamentos!$L$8:$L$49,"Pix")</f>
        <v/>
      </c>
      <c r="G12" s="48">
        <f>SUMIFS(Lançamentos!$K$8:$K$49,Lançamentos!$B$8:$B$49,$B12,Lançamentos!$L$8:$L$49,"Cartão Crédito")</f>
        <v/>
      </c>
      <c r="H12" s="48">
        <f>SUMIFS(Lançamentos!$K$8:$K$49,Lançamentos!$B$8:$B$49,$B12,Lançamentos!$L$8:$L$49,"Cartão Débito")</f>
        <v/>
      </c>
      <c r="I12" s="49">
        <f>SUM($E12:$H12)</f>
        <v/>
      </c>
      <c r="J12" s="50">
        <f>IF($I$16=0,0,$I12/$I$16)</f>
        <v/>
      </c>
      <c r="K12" s="48">
        <f>IF($D12=0,0,$I12/$D12)</f>
        <v/>
      </c>
    </row>
    <row r="13" ht="19.5" customHeight="1" s="38">
      <c r="B13" s="51" t="n">
        <v>46265</v>
      </c>
      <c r="C13" s="52">
        <f>CHOOSE(WEEKDAY($B13),"Domingo","Segunda","Terça","Quarta","Quinta","Sexta","Sábado")</f>
        <v/>
      </c>
      <c r="D13" s="53">
        <f>COUNTIF(Lançamentos!$B$8:$B$49,$B13)</f>
        <v/>
      </c>
      <c r="E13" s="54">
        <f>SUMIFS(Lançamentos!$K$8:$K$49,Lançamentos!$B$8:$B$49,$B13,Lançamentos!$L$8:$L$49,"Dinheiro")</f>
        <v/>
      </c>
      <c r="F13" s="54">
        <f>SUMIFS(Lançamentos!$K$8:$K$49,Lançamentos!$B$8:$B$49,$B13,Lançamentos!$L$8:$L$49,"Pix")</f>
        <v/>
      </c>
      <c r="G13" s="54">
        <f>SUMIFS(Lançamentos!$K$8:$K$49,Lançamentos!$B$8:$B$49,$B13,Lançamentos!$L$8:$L$49,"Cartão Crédito")</f>
        <v/>
      </c>
      <c r="H13" s="54">
        <f>SUMIFS(Lançamentos!$K$8:$K$49,Lançamentos!$B$8:$B$49,$B13,Lançamentos!$L$8:$L$49,"Cartão Débito")</f>
        <v/>
      </c>
      <c r="I13" s="55">
        <f>SUM($E13:$H13)</f>
        <v/>
      </c>
      <c r="J13" s="56">
        <f>IF($I$16=0,0,$I13/$I$16)</f>
        <v/>
      </c>
      <c r="K13" s="54">
        <f>IF($D13=0,0,$I13/$D13)</f>
        <v/>
      </c>
    </row>
    <row r="14" ht="19.5" customHeight="1" s="38">
      <c r="B14" s="45" t="n">
        <v>46266</v>
      </c>
      <c r="C14" s="46">
        <f>CHOOSE(WEEKDAY($B14),"Domingo","Segunda","Terça","Quarta","Quinta","Sexta","Sábado")</f>
        <v/>
      </c>
      <c r="D14" s="47">
        <f>COUNTIF(Lançamentos!$B$8:$B$49,$B14)</f>
        <v/>
      </c>
      <c r="E14" s="48">
        <f>SUMIFS(Lançamentos!$K$8:$K$49,Lançamentos!$B$8:$B$49,$B14,Lançamentos!$L$8:$L$49,"Dinheiro")</f>
        <v/>
      </c>
      <c r="F14" s="48">
        <f>SUMIFS(Lançamentos!$K$8:$K$49,Lançamentos!$B$8:$B$49,$B14,Lançamentos!$L$8:$L$49,"Pix")</f>
        <v/>
      </c>
      <c r="G14" s="48">
        <f>SUMIFS(Lançamentos!$K$8:$K$49,Lançamentos!$B$8:$B$49,$B14,Lançamentos!$L$8:$L$49,"Cartão Crédito")</f>
        <v/>
      </c>
      <c r="H14" s="48">
        <f>SUMIFS(Lançamentos!$K$8:$K$49,Lançamentos!$B$8:$B$49,$B14,Lançamentos!$L$8:$L$49,"Cartão Débito")</f>
        <v/>
      </c>
      <c r="I14" s="49">
        <f>SUM($E14:$H14)</f>
        <v/>
      </c>
      <c r="J14" s="50">
        <f>IF($I$16=0,0,$I14/$I$16)</f>
        <v/>
      </c>
      <c r="K14" s="48">
        <f>IF($D14=0,0,$I14/$D14)</f>
        <v/>
      </c>
    </row>
    <row r="15" ht="19.5" customHeight="1" s="38">
      <c r="B15" s="51" t="n">
        <v>46267</v>
      </c>
      <c r="C15" s="52">
        <f>CHOOSE(WEEKDAY($B15),"Domingo","Segunda","Terça","Quarta","Quinta","Sexta","Sábado")</f>
        <v/>
      </c>
      <c r="D15" s="53">
        <f>COUNTIF(Lançamentos!$B$8:$B$49,$B15)</f>
        <v/>
      </c>
      <c r="E15" s="54">
        <f>SUMIFS(Lançamentos!$K$8:$K$49,Lançamentos!$B$8:$B$49,$B15,Lançamentos!$L$8:$L$49,"Dinheiro")</f>
        <v/>
      </c>
      <c r="F15" s="54">
        <f>SUMIFS(Lançamentos!$K$8:$K$49,Lançamentos!$B$8:$B$49,$B15,Lançamentos!$L$8:$L$49,"Pix")</f>
        <v/>
      </c>
      <c r="G15" s="54">
        <f>SUMIFS(Lançamentos!$K$8:$K$49,Lançamentos!$B$8:$B$49,$B15,Lançamentos!$L$8:$L$49,"Cartão Crédito")</f>
        <v/>
      </c>
      <c r="H15" s="54">
        <f>SUMIFS(Lançamentos!$K$8:$K$49,Lançamentos!$B$8:$B$49,$B15,Lançamentos!$L$8:$L$49,"Cartão Débito")</f>
        <v/>
      </c>
      <c r="I15" s="55">
        <f>SUM($E15:$H15)</f>
        <v/>
      </c>
      <c r="J15" s="56">
        <f>IF($I$16=0,0,$I15/$I$16)</f>
        <v/>
      </c>
      <c r="K15" s="54">
        <f>IF($D15=0,0,$I15/$D15)</f>
        <v/>
      </c>
    </row>
    <row r="16" ht="24" customHeight="1" s="38">
      <c r="B16" s="57" t="inlineStr">
        <is>
          <t>TOTAL</t>
        </is>
      </c>
      <c r="C16" s="57" t="inlineStr">
        <is>
          <t>8 dias</t>
        </is>
      </c>
      <c r="D16" s="58">
        <f>SUM(D8:D15)</f>
        <v/>
      </c>
      <c r="E16" s="59">
        <f>SUM(E8:E15)</f>
        <v/>
      </c>
      <c r="F16" s="59">
        <f>SUM(F8:F15)</f>
        <v/>
      </c>
      <c r="G16" s="59">
        <f>SUM(G8:G15)</f>
        <v/>
      </c>
      <c r="H16" s="59">
        <f>SUM(H8:H15)</f>
        <v/>
      </c>
      <c r="I16" s="59">
        <f>SUM(I8:I15)</f>
        <v/>
      </c>
      <c r="J16" s="60">
        <f>IF($I$16=0,0,SUM($J8:$J15))</f>
        <v/>
      </c>
      <c r="K16" s="59">
        <f>IF($D$16=0,0,$I$16/$D$16)</f>
        <v/>
      </c>
    </row>
    <row r="17" ht="15" customHeight="1" s="38">
      <c r="B17" s="61" t="inlineStr">
        <is>
          <t>Todos os valores são calculados diretamente da aba Lançamentos; ao incluir novos atendimentos, atualize a fórmula/intervalo e os totais se ajustam.</t>
        </is>
      </c>
    </row>
    <row r="18"/>
    <row r="19" ht="27.75" customHeight="1" s="38">
      <c r="B19" s="43" t="inlineStr">
        <is>
          <t xml:space="preserve">  Matriz Diária — Quantidade de Atendimentos por Forma</t>
        </is>
      </c>
    </row>
    <row r="20" ht="30" customHeight="1" s="38">
      <c r="B20" s="44" t="inlineStr">
        <is>
          <t>Data</t>
        </is>
      </c>
      <c r="C20" s="44" t="inlineStr">
        <is>
          <t>Dinheiro</t>
        </is>
      </c>
      <c r="D20" s="44" t="inlineStr">
        <is>
          <t>Pix</t>
        </is>
      </c>
      <c r="E20" s="44" t="inlineStr">
        <is>
          <t>Cartão Crédito</t>
        </is>
      </c>
      <c r="F20" s="44" t="inlineStr">
        <is>
          <t>Cartão Débito</t>
        </is>
      </c>
      <c r="G20" s="44" t="inlineStr">
        <is>
          <t>Total</t>
        </is>
      </c>
      <c r="H20" s="44" t="inlineStr">
        <is>
          <t>Forma predominante</t>
        </is>
      </c>
    </row>
    <row r="21" ht="19.5" customHeight="1" s="38">
      <c r="B21" s="45">
        <f>$B8</f>
        <v/>
      </c>
      <c r="C21" s="47">
        <f>COUNTIFS(Lançamentos!$B$8:$B$49,$B21,Lançamentos!$L$8:$L$49,"Dinheiro")</f>
        <v/>
      </c>
      <c r="D21" s="47">
        <f>COUNTIFS(Lançamentos!$B$8:$B$49,$B21,Lançamentos!$L$8:$L$49,"Pix")</f>
        <v/>
      </c>
      <c r="E21" s="47">
        <f>COUNTIFS(Lançamentos!$B$8:$B$49,$B21,Lançamentos!$L$8:$L$49,"Cartão Crédito")</f>
        <v/>
      </c>
      <c r="F21" s="47">
        <f>COUNTIFS(Lançamentos!$B$8:$B$49,$B21,Lançamentos!$L$8:$L$49,"Cartão Débito")</f>
        <v/>
      </c>
      <c r="G21" s="62">
        <f>SUM($C21:$F21)</f>
        <v/>
      </c>
      <c r="H21" s="63">
        <f>INDEX($C$20:$F$20,1,MATCH(MAX($C21:$F21),$C21:$F21,0))</f>
        <v/>
      </c>
    </row>
    <row r="22" ht="19.5" customHeight="1" s="38">
      <c r="B22" s="51">
        <f>$B9</f>
        <v/>
      </c>
      <c r="C22" s="53">
        <f>COUNTIFS(Lançamentos!$B$8:$B$49,$B22,Lançamentos!$L$8:$L$49,"Dinheiro")</f>
        <v/>
      </c>
      <c r="D22" s="53">
        <f>COUNTIFS(Lançamentos!$B$8:$B$49,$B22,Lançamentos!$L$8:$L$49,"Pix")</f>
        <v/>
      </c>
      <c r="E22" s="53">
        <f>COUNTIFS(Lançamentos!$B$8:$B$49,$B22,Lançamentos!$L$8:$L$49,"Cartão Crédito")</f>
        <v/>
      </c>
      <c r="F22" s="53">
        <f>COUNTIFS(Lançamentos!$B$8:$B$49,$B22,Lançamentos!$L$8:$L$49,"Cartão Débito")</f>
        <v/>
      </c>
      <c r="G22" s="64">
        <f>SUM($C22:$F22)</f>
        <v/>
      </c>
      <c r="H22" s="65">
        <f>INDEX($C$20:$F$20,1,MATCH(MAX($C22:$F22),$C22:$F22,0))</f>
        <v/>
      </c>
    </row>
    <row r="23" ht="19.5" customHeight="1" s="38">
      <c r="B23" s="45">
        <f>$B10</f>
        <v/>
      </c>
      <c r="C23" s="47">
        <f>COUNTIFS(Lançamentos!$B$8:$B$49,$B23,Lançamentos!$L$8:$L$49,"Dinheiro")</f>
        <v/>
      </c>
      <c r="D23" s="47">
        <f>COUNTIFS(Lançamentos!$B$8:$B$49,$B23,Lançamentos!$L$8:$L$49,"Pix")</f>
        <v/>
      </c>
      <c r="E23" s="47">
        <f>COUNTIFS(Lançamentos!$B$8:$B$49,$B23,Lançamentos!$L$8:$L$49,"Cartão Crédito")</f>
        <v/>
      </c>
      <c r="F23" s="47">
        <f>COUNTIFS(Lançamentos!$B$8:$B$49,$B23,Lançamentos!$L$8:$L$49,"Cartão Débito")</f>
        <v/>
      </c>
      <c r="G23" s="62">
        <f>SUM($C23:$F23)</f>
        <v/>
      </c>
      <c r="H23" s="63">
        <f>INDEX($C$20:$F$20,1,MATCH(MAX($C23:$F23),$C23:$F23,0))</f>
        <v/>
      </c>
    </row>
    <row r="24" ht="19.5" customHeight="1" s="38">
      <c r="B24" s="51">
        <f>$B11</f>
        <v/>
      </c>
      <c r="C24" s="53">
        <f>COUNTIFS(Lançamentos!$B$8:$B$49,$B24,Lançamentos!$L$8:$L$49,"Dinheiro")</f>
        <v/>
      </c>
      <c r="D24" s="53">
        <f>COUNTIFS(Lançamentos!$B$8:$B$49,$B24,Lançamentos!$L$8:$L$49,"Pix")</f>
        <v/>
      </c>
      <c r="E24" s="53">
        <f>COUNTIFS(Lançamentos!$B$8:$B$49,$B24,Lançamentos!$L$8:$L$49,"Cartão Crédito")</f>
        <v/>
      </c>
      <c r="F24" s="53">
        <f>COUNTIFS(Lançamentos!$B$8:$B$49,$B24,Lançamentos!$L$8:$L$49,"Cartão Débito")</f>
        <v/>
      </c>
      <c r="G24" s="64">
        <f>SUM($C24:$F24)</f>
        <v/>
      </c>
      <c r="H24" s="65">
        <f>INDEX($C$20:$F$20,1,MATCH(MAX($C24:$F24),$C24:$F24,0))</f>
        <v/>
      </c>
    </row>
    <row r="25" ht="19.5" customHeight="1" s="38">
      <c r="B25" s="45">
        <f>$B12</f>
        <v/>
      </c>
      <c r="C25" s="47">
        <f>COUNTIFS(Lançamentos!$B$8:$B$49,$B25,Lançamentos!$L$8:$L$49,"Dinheiro")</f>
        <v/>
      </c>
      <c r="D25" s="47">
        <f>COUNTIFS(Lançamentos!$B$8:$B$49,$B25,Lançamentos!$L$8:$L$49,"Pix")</f>
        <v/>
      </c>
      <c r="E25" s="47">
        <f>COUNTIFS(Lançamentos!$B$8:$B$49,$B25,Lançamentos!$L$8:$L$49,"Cartão Crédito")</f>
        <v/>
      </c>
      <c r="F25" s="47">
        <f>COUNTIFS(Lançamentos!$B$8:$B$49,$B25,Lançamentos!$L$8:$L$49,"Cartão Débito")</f>
        <v/>
      </c>
      <c r="G25" s="62">
        <f>SUM($C25:$F25)</f>
        <v/>
      </c>
      <c r="H25" s="63">
        <f>INDEX($C$20:$F$20,1,MATCH(MAX($C25:$F25),$C25:$F25,0))</f>
        <v/>
      </c>
    </row>
    <row r="26" ht="19.5" customHeight="1" s="38">
      <c r="B26" s="51">
        <f>$B13</f>
        <v/>
      </c>
      <c r="C26" s="53">
        <f>COUNTIFS(Lançamentos!$B$8:$B$49,$B26,Lançamentos!$L$8:$L$49,"Dinheiro")</f>
        <v/>
      </c>
      <c r="D26" s="53">
        <f>COUNTIFS(Lançamentos!$B$8:$B$49,$B26,Lançamentos!$L$8:$L$49,"Pix")</f>
        <v/>
      </c>
      <c r="E26" s="53">
        <f>COUNTIFS(Lançamentos!$B$8:$B$49,$B26,Lançamentos!$L$8:$L$49,"Cartão Crédito")</f>
        <v/>
      </c>
      <c r="F26" s="53">
        <f>COUNTIFS(Lançamentos!$B$8:$B$49,$B26,Lançamentos!$L$8:$L$49,"Cartão Débito")</f>
        <v/>
      </c>
      <c r="G26" s="64">
        <f>SUM($C26:$F26)</f>
        <v/>
      </c>
      <c r="H26" s="65">
        <f>INDEX($C$20:$F$20,1,MATCH(MAX($C26:$F26),$C26:$F26,0))</f>
        <v/>
      </c>
    </row>
    <row r="27" ht="19.5" customHeight="1" s="38">
      <c r="B27" s="45">
        <f>$B14</f>
        <v/>
      </c>
      <c r="C27" s="47">
        <f>COUNTIFS(Lançamentos!$B$8:$B$49,$B27,Lançamentos!$L$8:$L$49,"Dinheiro")</f>
        <v/>
      </c>
      <c r="D27" s="47">
        <f>COUNTIFS(Lançamentos!$B$8:$B$49,$B27,Lançamentos!$L$8:$L$49,"Pix")</f>
        <v/>
      </c>
      <c r="E27" s="47">
        <f>COUNTIFS(Lançamentos!$B$8:$B$49,$B27,Lançamentos!$L$8:$L$49,"Cartão Crédito")</f>
        <v/>
      </c>
      <c r="F27" s="47">
        <f>COUNTIFS(Lançamentos!$B$8:$B$49,$B27,Lançamentos!$L$8:$L$49,"Cartão Débito")</f>
        <v/>
      </c>
      <c r="G27" s="62">
        <f>SUM($C27:$F27)</f>
        <v/>
      </c>
      <c r="H27" s="63">
        <f>INDEX($C$20:$F$20,1,MATCH(MAX($C27:$F27),$C27:$F27,0))</f>
        <v/>
      </c>
    </row>
    <row r="28" ht="19.5" customHeight="1" s="38">
      <c r="B28" s="51">
        <f>$B15</f>
        <v/>
      </c>
      <c r="C28" s="53">
        <f>COUNTIFS(Lançamentos!$B$8:$B$49,$B28,Lançamentos!$L$8:$L$49,"Dinheiro")</f>
        <v/>
      </c>
      <c r="D28" s="53">
        <f>COUNTIFS(Lançamentos!$B$8:$B$49,$B28,Lançamentos!$L$8:$L$49,"Pix")</f>
        <v/>
      </c>
      <c r="E28" s="53">
        <f>COUNTIFS(Lançamentos!$B$8:$B$49,$B28,Lançamentos!$L$8:$L$49,"Cartão Crédito")</f>
        <v/>
      </c>
      <c r="F28" s="53">
        <f>COUNTIFS(Lançamentos!$B$8:$B$49,$B28,Lançamentos!$L$8:$L$49,"Cartão Débito")</f>
        <v/>
      </c>
      <c r="G28" s="64">
        <f>SUM($C28:$F28)</f>
        <v/>
      </c>
      <c r="H28" s="65">
        <f>INDEX($C$20:$F$20,1,MATCH(MAX($C28:$F28),$C28:$F28,0))</f>
        <v/>
      </c>
    </row>
    <row r="29" ht="24" customHeight="1" s="38">
      <c r="B29" s="57" t="inlineStr">
        <is>
          <t>TOTAL</t>
        </is>
      </c>
      <c r="C29" s="58">
        <f>SUM(C21:C28)</f>
        <v/>
      </c>
      <c r="D29" s="58">
        <f>SUM(D21:D28)</f>
        <v/>
      </c>
      <c r="E29" s="58">
        <f>SUM(E21:E28)</f>
        <v/>
      </c>
      <c r="F29" s="58">
        <f>SUM(F21:F28)</f>
        <v/>
      </c>
      <c r="G29" s="58">
        <f>SUM(G21:G28)</f>
        <v/>
      </c>
      <c r="H29" s="57">
        <f>INDEX($C$20:$F$20,1,MATCH(MAX($C29:$F29),$C29:$F29,0))</f>
        <v/>
      </c>
    </row>
    <row r="30"/>
    <row r="31"/>
    <row r="32" ht="27.75" customHeight="1" s="38">
      <c r="B32" s="43" t="inlineStr">
        <is>
          <t xml:space="preserve">  Resumo do Período por Forma de Pagamento</t>
        </is>
      </c>
    </row>
    <row r="33" ht="30" customHeight="1" s="38">
      <c r="B33" s="44" t="inlineStr">
        <is>
          <t>Forma de pagamento</t>
        </is>
      </c>
      <c r="C33" s="44" t="inlineStr">
        <is>
          <t>Atendimentos</t>
        </is>
      </c>
      <c r="D33" s="44" t="inlineStr">
        <is>
          <t>Valor total (R$)</t>
        </is>
      </c>
      <c r="E33" s="44" t="inlineStr">
        <is>
          <t>% do valor</t>
        </is>
      </c>
      <c r="F33" s="44" t="inlineStr">
        <is>
          <t>Ticket médio</t>
        </is>
      </c>
      <c r="G33" s="44" t="inlineStr">
        <is>
          <t>Melhor dia</t>
        </is>
      </c>
      <c r="H33" s="44" t="inlineStr">
        <is>
          <t>Valor do melhor dia</t>
        </is>
      </c>
    </row>
    <row r="34" ht="19.5" customHeight="1" s="38">
      <c r="B34" s="66" t="inlineStr">
        <is>
          <t>Dinheiro</t>
        </is>
      </c>
      <c r="C34" s="47">
        <f>COUNTIF(Lançamentos!$L$8:$L$49,$B34)</f>
        <v/>
      </c>
      <c r="D34" s="49">
        <f>SUMIF(Lançamentos!$L$8:$L$49,$B34,Lançamentos!$K$8:$K$49)</f>
        <v/>
      </c>
      <c r="E34" s="50">
        <f>IF($D$38=0,0,$D34/$D$38)</f>
        <v/>
      </c>
      <c r="F34" s="48">
        <f>IF($C34=0,0,$D34/$C34)</f>
        <v/>
      </c>
      <c r="G34" s="63">
        <f>TEXT(INDEX($B$8:$B$15,MATCH(MAX($E$8:$E$15),$E$8:$E$15,0)),"DD/MM")</f>
        <v/>
      </c>
      <c r="H34" s="48">
        <f>MAX($E$8:$E$15)</f>
        <v/>
      </c>
    </row>
    <row r="35" ht="19.5" customHeight="1" s="38">
      <c r="B35" s="67" t="inlineStr">
        <is>
          <t>Pix</t>
        </is>
      </c>
      <c r="C35" s="53">
        <f>COUNTIF(Lançamentos!$L$8:$L$49,$B35)</f>
        <v/>
      </c>
      <c r="D35" s="55">
        <f>SUMIF(Lançamentos!$L$8:$L$49,$B35,Lançamentos!$K$8:$K$49)</f>
        <v/>
      </c>
      <c r="E35" s="56">
        <f>IF($D$38=0,0,$D35/$D$38)</f>
        <v/>
      </c>
      <c r="F35" s="54">
        <f>IF($C35=0,0,$D35/$C35)</f>
        <v/>
      </c>
      <c r="G35" s="65">
        <f>TEXT(INDEX($B$8:$B$15,MATCH(MAX($F$8:$F$15),$F$8:$F$15,0)),"DD/MM")</f>
        <v/>
      </c>
      <c r="H35" s="54">
        <f>MAX($F$8:$F$15)</f>
        <v/>
      </c>
    </row>
    <row r="36" ht="19.5" customHeight="1" s="38">
      <c r="B36" s="66" t="inlineStr">
        <is>
          <t>Cartão Crédito</t>
        </is>
      </c>
      <c r="C36" s="47">
        <f>COUNTIF(Lançamentos!$L$8:$L$49,$B36)</f>
        <v/>
      </c>
      <c r="D36" s="49">
        <f>SUMIF(Lançamentos!$L$8:$L$49,$B36,Lançamentos!$K$8:$K$49)</f>
        <v/>
      </c>
      <c r="E36" s="50">
        <f>IF($D$38=0,0,$D36/$D$38)</f>
        <v/>
      </c>
      <c r="F36" s="48">
        <f>IF($C36=0,0,$D36/$C36)</f>
        <v/>
      </c>
      <c r="G36" s="63">
        <f>TEXT(INDEX($B$8:$B$15,MATCH(MAX($G$8:$G$15),$G$8:$G$15,0)),"DD/MM")</f>
        <v/>
      </c>
      <c r="H36" s="48">
        <f>MAX($G$8:$G$15)</f>
        <v/>
      </c>
    </row>
    <row r="37" ht="19.5" customHeight="1" s="38">
      <c r="B37" s="67" t="inlineStr">
        <is>
          <t>Cartão Débito</t>
        </is>
      </c>
      <c r="C37" s="53">
        <f>COUNTIF(Lançamentos!$L$8:$L$49,$B37)</f>
        <v/>
      </c>
      <c r="D37" s="55">
        <f>SUMIF(Lançamentos!$L$8:$L$49,$B37,Lançamentos!$K$8:$K$49)</f>
        <v/>
      </c>
      <c r="E37" s="56">
        <f>IF($D$38=0,0,$D37/$D$38)</f>
        <v/>
      </c>
      <c r="F37" s="54">
        <f>IF($C37=0,0,$D37/$C37)</f>
        <v/>
      </c>
      <c r="G37" s="65">
        <f>TEXT(INDEX($B$8:$B$15,MATCH(MAX($H$8:$H$15),$H$8:$H$15,0)),"DD/MM")</f>
        <v/>
      </c>
      <c r="H37" s="54">
        <f>MAX($H$8:$H$15)</f>
        <v/>
      </c>
    </row>
    <row r="38" ht="24" customHeight="1" s="38">
      <c r="B38" s="57" t="inlineStr">
        <is>
          <t>TOTAL</t>
        </is>
      </c>
      <c r="C38" s="58">
        <f>SUM($C34:$C37)</f>
        <v/>
      </c>
      <c r="D38" s="59">
        <f>SUM($D34:$D37)</f>
        <v/>
      </c>
      <c r="E38" s="60">
        <f>IF($D$38=0,0,SUM($E34:$E37))</f>
        <v/>
      </c>
      <c r="F38" s="59">
        <f>IF($C$38=0,0,$D$38/$C$38)</f>
        <v/>
      </c>
      <c r="G38" s="57" t="inlineStr">
        <is>
          <t>—</t>
        </is>
      </c>
      <c r="H38" s="59">
        <f>MAX($H34:$H37)</f>
        <v/>
      </c>
    </row>
    <row r="39" ht="15" customHeight="1" s="38">
      <c r="B39" s="61" t="inlineStr">
        <is>
          <t>Conferência: o total desta tabela deve ser igual ao TOTAL da matriz diária e ao total da aba Lançamentos.</t>
        </is>
      </c>
    </row>
  </sheetData>
  <mergeCells count="7">
    <mergeCell ref="B32:H32"/>
    <mergeCell ref="B1:K1"/>
    <mergeCell ref="B4:K4"/>
    <mergeCell ref="B6:K6"/>
    <mergeCell ref="B2:K2"/>
    <mergeCell ref="B19:H19"/>
    <mergeCell ref="B3:K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953125" defaultRowHeight="15" zeroHeight="0" outlineLevelRow="0"/>
  <cols>
    <col width="2.99" customWidth="1" style="37" min="1" max="1"/>
    <col width="19.01" customWidth="1" style="37" min="2" max="2"/>
    <col width="20" customWidth="1" style="37" min="3" max="8"/>
    <col width="16" customWidth="1" style="38" min="4" max="4"/>
    <col width="16" customWidth="1" style="38" min="5" max="5"/>
    <col width="16" customWidth="1" style="38" min="6" max="6"/>
    <col width="16" customWidth="1" style="38" min="7" max="7"/>
    <col width="16" customWidth="1" style="38" min="8" max="8"/>
  </cols>
  <sheetData>
    <row r="1" ht="34.5" customHeight="1" s="38">
      <c r="B1" s="39" t="inlineStr">
        <is>
          <t>Cartões — Detalhe por Data e Bandeira</t>
        </is>
      </c>
    </row>
    <row r="2" ht="19.5" customHeight="1" s="38">
      <c r="B2" s="40" t="inlineStr">
        <is>
          <t>SOFT Clínica de Oftalmologia  |  Período: 24/08/2026 a 02/09/2026  |  Valores em Reais (R$)</t>
        </is>
      </c>
    </row>
    <row r="3" ht="18" customHeight="1" s="38">
      <c r="B3" s="41" t="inlineStr">
        <is>
          <t>Abre a forma de pagamento Cartão por bandeira e por dia, separando crédito e débito.</t>
        </is>
      </c>
    </row>
    <row r="4" ht="4.5" customHeight="1" s="38">
      <c r="B4" s="42" t="n"/>
    </row>
    <row r="5"/>
    <row r="6" ht="27.75" customHeight="1" s="38">
      <c r="B6" s="43" t="inlineStr">
        <is>
          <t xml:space="preserve">  Valor por Dia e Bandeira (R$)</t>
        </is>
      </c>
    </row>
    <row r="7" ht="30" customHeight="1" s="38">
      <c r="B7" s="44" t="inlineStr">
        <is>
          <t>Data</t>
        </is>
      </c>
      <c r="C7" s="44" t="inlineStr">
        <is>
          <t>Visa</t>
        </is>
      </c>
      <c r="D7" s="44" t="inlineStr">
        <is>
          <t>Mastercard</t>
        </is>
      </c>
      <c r="E7" s="44" t="inlineStr">
        <is>
          <t>Elo</t>
        </is>
      </c>
      <c r="F7" s="44" t="inlineStr">
        <is>
          <t>Total cartões</t>
        </is>
      </c>
      <c r="G7" s="44" t="inlineStr">
        <is>
          <t>Crédito</t>
        </is>
      </c>
      <c r="H7" s="44" t="inlineStr">
        <is>
          <t>Débito</t>
        </is>
      </c>
    </row>
    <row r="8" ht="19.5" customHeight="1" s="38">
      <c r="B8" s="45" t="n">
        <v>46258</v>
      </c>
      <c r="C8" s="48">
        <f>SUMIFS(Lançamentos!$K$8:$K$49,Lançamentos!$B$8:$B$49,$B8,Lançamentos!$H$8:$H$49,"Visa")</f>
        <v/>
      </c>
      <c r="D8" s="48">
        <f>SUMIFS(Lançamentos!$K$8:$K$49,Lançamentos!$B$8:$B$49,$B8,Lançamentos!$H$8:$H$49,"Mastercard")</f>
        <v/>
      </c>
      <c r="E8" s="48">
        <f>SUMIFS(Lançamentos!$K$8:$K$49,Lançamentos!$B$8:$B$49,$B8,Lançamentos!$H$8:$H$49,"Elo")</f>
        <v/>
      </c>
      <c r="F8" s="49">
        <f>SUM($C8:$E8)</f>
        <v/>
      </c>
      <c r="G8" s="48">
        <f>SUMIFS(Lançamentos!$K$8:$K$49,Lançamentos!$B$8:$B$49,$B8,Lançamentos!$L$8:$L$49,"Cartão Crédito")</f>
        <v/>
      </c>
      <c r="H8" s="48">
        <f>SUMIFS(Lançamentos!$K$8:$K$49,Lançamentos!$B$8:$B$49,$B8,Lançamentos!$L$8:$L$49,"Cartão Débito")</f>
        <v/>
      </c>
    </row>
    <row r="9" ht="19.5" customHeight="1" s="38">
      <c r="B9" s="51" t="n">
        <v>46259</v>
      </c>
      <c r="C9" s="54">
        <f>SUMIFS(Lançamentos!$K$8:$K$49,Lançamentos!$B$8:$B$49,$B9,Lançamentos!$H$8:$H$49,"Visa")</f>
        <v/>
      </c>
      <c r="D9" s="54">
        <f>SUMIFS(Lançamentos!$K$8:$K$49,Lançamentos!$B$8:$B$49,$B9,Lançamentos!$H$8:$H$49,"Mastercard")</f>
        <v/>
      </c>
      <c r="E9" s="54">
        <f>SUMIFS(Lançamentos!$K$8:$K$49,Lançamentos!$B$8:$B$49,$B9,Lançamentos!$H$8:$H$49,"Elo")</f>
        <v/>
      </c>
      <c r="F9" s="55">
        <f>SUM($C9:$E9)</f>
        <v/>
      </c>
      <c r="G9" s="54">
        <f>SUMIFS(Lançamentos!$K$8:$K$49,Lançamentos!$B$8:$B$49,$B9,Lançamentos!$L$8:$L$49,"Cartão Crédito")</f>
        <v/>
      </c>
      <c r="H9" s="54">
        <f>SUMIFS(Lançamentos!$K$8:$K$49,Lançamentos!$B$8:$B$49,$B9,Lançamentos!$L$8:$L$49,"Cartão Débito")</f>
        <v/>
      </c>
    </row>
    <row r="10" ht="19.5" customHeight="1" s="38">
      <c r="B10" s="45" t="n">
        <v>46260</v>
      </c>
      <c r="C10" s="48">
        <f>SUMIFS(Lançamentos!$K$8:$K$49,Lançamentos!$B$8:$B$49,$B10,Lançamentos!$H$8:$H$49,"Visa")</f>
        <v/>
      </c>
      <c r="D10" s="48">
        <f>SUMIFS(Lançamentos!$K$8:$K$49,Lançamentos!$B$8:$B$49,$B10,Lançamentos!$H$8:$H$49,"Mastercard")</f>
        <v/>
      </c>
      <c r="E10" s="48">
        <f>SUMIFS(Lançamentos!$K$8:$K$49,Lançamentos!$B$8:$B$49,$B10,Lançamentos!$H$8:$H$49,"Elo")</f>
        <v/>
      </c>
      <c r="F10" s="49">
        <f>SUM($C10:$E10)</f>
        <v/>
      </c>
      <c r="G10" s="48">
        <f>SUMIFS(Lançamentos!$K$8:$K$49,Lançamentos!$B$8:$B$49,$B10,Lançamentos!$L$8:$L$49,"Cartão Crédito")</f>
        <v/>
      </c>
      <c r="H10" s="48">
        <f>SUMIFS(Lançamentos!$K$8:$K$49,Lançamentos!$B$8:$B$49,$B10,Lançamentos!$L$8:$L$49,"Cartão Débito")</f>
        <v/>
      </c>
    </row>
    <row r="11" ht="19.5" customHeight="1" s="38">
      <c r="B11" s="51" t="n">
        <v>46261</v>
      </c>
      <c r="C11" s="54">
        <f>SUMIFS(Lançamentos!$K$8:$K$49,Lançamentos!$B$8:$B$49,$B11,Lançamentos!$H$8:$H$49,"Visa")</f>
        <v/>
      </c>
      <c r="D11" s="54">
        <f>SUMIFS(Lançamentos!$K$8:$K$49,Lançamentos!$B$8:$B$49,$B11,Lançamentos!$H$8:$H$49,"Mastercard")</f>
        <v/>
      </c>
      <c r="E11" s="54">
        <f>SUMIFS(Lançamentos!$K$8:$K$49,Lançamentos!$B$8:$B$49,$B11,Lançamentos!$H$8:$H$49,"Elo")</f>
        <v/>
      </c>
      <c r="F11" s="55">
        <f>SUM($C11:$E11)</f>
        <v/>
      </c>
      <c r="G11" s="54">
        <f>SUMIFS(Lançamentos!$K$8:$K$49,Lançamentos!$B$8:$B$49,$B11,Lançamentos!$L$8:$L$49,"Cartão Crédito")</f>
        <v/>
      </c>
      <c r="H11" s="54">
        <f>SUMIFS(Lançamentos!$K$8:$K$49,Lançamentos!$B$8:$B$49,$B11,Lançamentos!$L$8:$L$49,"Cartão Débito")</f>
        <v/>
      </c>
    </row>
    <row r="12" ht="19.5" customHeight="1" s="38">
      <c r="B12" s="45" t="n">
        <v>46262</v>
      </c>
      <c r="C12" s="48">
        <f>SUMIFS(Lançamentos!$K$8:$K$49,Lançamentos!$B$8:$B$49,$B12,Lançamentos!$H$8:$H$49,"Visa")</f>
        <v/>
      </c>
      <c r="D12" s="48">
        <f>SUMIFS(Lançamentos!$K$8:$K$49,Lançamentos!$B$8:$B$49,$B12,Lançamentos!$H$8:$H$49,"Mastercard")</f>
        <v/>
      </c>
      <c r="E12" s="48">
        <f>SUMIFS(Lançamentos!$K$8:$K$49,Lançamentos!$B$8:$B$49,$B12,Lançamentos!$H$8:$H$49,"Elo")</f>
        <v/>
      </c>
      <c r="F12" s="49">
        <f>SUM($C12:$E12)</f>
        <v/>
      </c>
      <c r="G12" s="48">
        <f>SUMIFS(Lançamentos!$K$8:$K$49,Lançamentos!$B$8:$B$49,$B12,Lançamentos!$L$8:$L$49,"Cartão Crédito")</f>
        <v/>
      </c>
      <c r="H12" s="48">
        <f>SUMIFS(Lançamentos!$K$8:$K$49,Lançamentos!$B$8:$B$49,$B12,Lançamentos!$L$8:$L$49,"Cartão Débito")</f>
        <v/>
      </c>
    </row>
    <row r="13" ht="19.5" customHeight="1" s="38">
      <c r="B13" s="51" t="n">
        <v>46265</v>
      </c>
      <c r="C13" s="54">
        <f>SUMIFS(Lançamentos!$K$8:$K$49,Lançamentos!$B$8:$B$49,$B13,Lançamentos!$H$8:$H$49,"Visa")</f>
        <v/>
      </c>
      <c r="D13" s="54">
        <f>SUMIFS(Lançamentos!$K$8:$K$49,Lançamentos!$B$8:$B$49,$B13,Lançamentos!$H$8:$H$49,"Mastercard")</f>
        <v/>
      </c>
      <c r="E13" s="54">
        <f>SUMIFS(Lançamentos!$K$8:$K$49,Lançamentos!$B$8:$B$49,$B13,Lançamentos!$H$8:$H$49,"Elo")</f>
        <v/>
      </c>
      <c r="F13" s="55">
        <f>SUM($C13:$E13)</f>
        <v/>
      </c>
      <c r="G13" s="54">
        <f>SUMIFS(Lançamentos!$K$8:$K$49,Lançamentos!$B$8:$B$49,$B13,Lançamentos!$L$8:$L$49,"Cartão Crédito")</f>
        <v/>
      </c>
      <c r="H13" s="54">
        <f>SUMIFS(Lançamentos!$K$8:$K$49,Lançamentos!$B$8:$B$49,$B13,Lançamentos!$L$8:$L$49,"Cartão Débito")</f>
        <v/>
      </c>
    </row>
    <row r="14" ht="19.5" customHeight="1" s="38">
      <c r="B14" s="45" t="n">
        <v>46266</v>
      </c>
      <c r="C14" s="48">
        <f>SUMIFS(Lançamentos!$K$8:$K$49,Lançamentos!$B$8:$B$49,$B14,Lançamentos!$H$8:$H$49,"Visa")</f>
        <v/>
      </c>
      <c r="D14" s="48">
        <f>SUMIFS(Lançamentos!$K$8:$K$49,Lançamentos!$B$8:$B$49,$B14,Lançamentos!$H$8:$H$49,"Mastercard")</f>
        <v/>
      </c>
      <c r="E14" s="48">
        <f>SUMIFS(Lançamentos!$K$8:$K$49,Lançamentos!$B$8:$B$49,$B14,Lançamentos!$H$8:$H$49,"Elo")</f>
        <v/>
      </c>
      <c r="F14" s="49">
        <f>SUM($C14:$E14)</f>
        <v/>
      </c>
      <c r="G14" s="48">
        <f>SUMIFS(Lançamentos!$K$8:$K$49,Lançamentos!$B$8:$B$49,$B14,Lançamentos!$L$8:$L$49,"Cartão Crédito")</f>
        <v/>
      </c>
      <c r="H14" s="48">
        <f>SUMIFS(Lançamentos!$K$8:$K$49,Lançamentos!$B$8:$B$49,$B14,Lançamentos!$L$8:$L$49,"Cartão Débito")</f>
        <v/>
      </c>
    </row>
    <row r="15" ht="19.5" customHeight="1" s="38">
      <c r="B15" s="51" t="n">
        <v>46267</v>
      </c>
      <c r="C15" s="54">
        <f>SUMIFS(Lançamentos!$K$8:$K$49,Lançamentos!$B$8:$B$49,$B15,Lançamentos!$H$8:$H$49,"Visa")</f>
        <v/>
      </c>
      <c r="D15" s="54">
        <f>SUMIFS(Lançamentos!$K$8:$K$49,Lançamentos!$B$8:$B$49,$B15,Lançamentos!$H$8:$H$49,"Mastercard")</f>
        <v/>
      </c>
      <c r="E15" s="54">
        <f>SUMIFS(Lançamentos!$K$8:$K$49,Lançamentos!$B$8:$B$49,$B15,Lançamentos!$H$8:$H$49,"Elo")</f>
        <v/>
      </c>
      <c r="F15" s="55">
        <f>SUM($C15:$E15)</f>
        <v/>
      </c>
      <c r="G15" s="54">
        <f>SUMIFS(Lançamentos!$K$8:$K$49,Lançamentos!$B$8:$B$49,$B15,Lançamentos!$L$8:$L$49,"Cartão Crédito")</f>
        <v/>
      </c>
      <c r="H15" s="54">
        <f>SUMIFS(Lançamentos!$K$8:$K$49,Lançamentos!$B$8:$B$49,$B15,Lançamentos!$L$8:$L$49,"Cartão Débito")</f>
        <v/>
      </c>
    </row>
    <row r="16" ht="24" customHeight="1" s="38">
      <c r="B16" s="57" t="inlineStr">
        <is>
          <t>TOTAL</t>
        </is>
      </c>
      <c r="C16" s="59">
        <f>SUM(C8:C15)</f>
        <v/>
      </c>
      <c r="D16" s="59">
        <f>SUM(D8:D15)</f>
        <v/>
      </c>
      <c r="E16" s="59">
        <f>SUM(E8:E15)</f>
        <v/>
      </c>
      <c r="F16" s="59">
        <f>SUM(F8:F15)</f>
        <v/>
      </c>
      <c r="G16" s="59">
        <f>SUM(G8:G15)</f>
        <v/>
      </c>
      <c r="H16" s="59">
        <f>SUM(H8:H15)</f>
        <v/>
      </c>
    </row>
    <row r="17"/>
    <row r="18"/>
    <row r="19" ht="27.75" customHeight="1" s="38">
      <c r="B19" s="43" t="inlineStr">
        <is>
          <t xml:space="preserve">  Resumo por Bandeira no Período</t>
        </is>
      </c>
    </row>
    <row r="20" ht="30" customHeight="1" s="38">
      <c r="B20" s="44" t="inlineStr">
        <is>
          <t>Bandeira</t>
        </is>
      </c>
      <c r="C20" s="44" t="inlineStr">
        <is>
          <t>Transações</t>
        </is>
      </c>
      <c r="D20" s="44" t="inlineStr">
        <is>
          <t>Valor total (R$)</t>
        </is>
      </c>
      <c r="E20" s="44" t="inlineStr">
        <is>
          <t>% dos cartões</t>
        </is>
      </c>
      <c r="F20" s="44" t="inlineStr">
        <is>
          <t>Ticket médio</t>
        </is>
      </c>
    </row>
    <row r="21" ht="19.5" customHeight="1" s="38">
      <c r="B21" s="66" t="inlineStr">
        <is>
          <t>Visa</t>
        </is>
      </c>
      <c r="C21" s="47">
        <f>COUNTIF(Lançamentos!$H$8:$H$49,$B21)</f>
        <v/>
      </c>
      <c r="D21" s="49">
        <f>SUMIF(Lançamentos!$H$8:$H$49,$B21,Lançamentos!$K$8:$K$49)</f>
        <v/>
      </c>
      <c r="E21" s="50">
        <f>IF($D$24=0,0,$D21/$D$24)</f>
        <v/>
      </c>
      <c r="F21" s="48">
        <f>IF($C21=0,0,$D21/$C21)</f>
        <v/>
      </c>
    </row>
    <row r="22" ht="19.5" customHeight="1" s="38">
      <c r="B22" s="67" t="inlineStr">
        <is>
          <t>Mastercard</t>
        </is>
      </c>
      <c r="C22" s="53">
        <f>COUNTIF(Lançamentos!$H$8:$H$49,$B22)</f>
        <v/>
      </c>
      <c r="D22" s="55">
        <f>SUMIF(Lançamentos!$H$8:$H$49,$B22,Lançamentos!$K$8:$K$49)</f>
        <v/>
      </c>
      <c r="E22" s="56">
        <f>IF($D$24=0,0,$D22/$D$24)</f>
        <v/>
      </c>
      <c r="F22" s="54">
        <f>IF($C22=0,0,$D22/$C22)</f>
        <v/>
      </c>
    </row>
    <row r="23" ht="19.5" customHeight="1" s="38">
      <c r="B23" s="66" t="inlineStr">
        <is>
          <t>Elo</t>
        </is>
      </c>
      <c r="C23" s="47">
        <f>COUNTIF(Lançamentos!$H$8:$H$49,$B23)</f>
        <v/>
      </c>
      <c r="D23" s="49">
        <f>SUMIF(Lançamentos!$H$8:$H$49,$B23,Lançamentos!$K$8:$K$49)</f>
        <v/>
      </c>
      <c r="E23" s="50">
        <f>IF($D$24=0,0,$D23/$D$24)</f>
        <v/>
      </c>
      <c r="F23" s="48">
        <f>IF($C23=0,0,$D23/$C23)</f>
        <v/>
      </c>
    </row>
    <row r="24" ht="24" customHeight="1" s="38">
      <c r="B24" s="57" t="inlineStr">
        <is>
          <t>TOTAL</t>
        </is>
      </c>
      <c r="C24" s="58">
        <f>SUM($C21:$C23)</f>
        <v/>
      </c>
      <c r="D24" s="59">
        <f>SUM($D21:$D23)</f>
        <v/>
      </c>
      <c r="E24" s="60">
        <f>IF($D$24=0,0,SUM($E21:$E23))</f>
        <v/>
      </c>
      <c r="F24" s="59">
        <f>IF($C$24=0,0,$D$24/$C$24)</f>
        <v/>
      </c>
    </row>
    <row r="25" ht="15" customHeight="1" s="38">
      <c r="B25" s="61" t="inlineStr">
        <is>
          <t>O total de cartões aqui corresponde à soma de Cartão Crédito + Cartão Débito da aba Data x Forma Pagto.</t>
        </is>
      </c>
    </row>
  </sheetData>
  <mergeCells count="6">
    <mergeCell ref="B1:H1"/>
    <mergeCell ref="B4:H4"/>
    <mergeCell ref="B19:F19"/>
    <mergeCell ref="B6:H6"/>
    <mergeCell ref="B2:H2"/>
    <mergeCell ref="B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953125" defaultRowHeight="15" zeroHeight="0" outlineLevelRow="0"/>
  <cols>
    <col width="2.99" customWidth="1" style="37" min="1" max="1"/>
    <col width="19.01" customWidth="1" style="37" min="2" max="2"/>
    <col width="10" customWidth="1" style="37" min="3" max="3"/>
    <col width="27.99" customWidth="1" style="37" min="4" max="4"/>
    <col width="17" customWidth="1" style="37" min="5" max="5"/>
    <col width="20" customWidth="1" style="37" min="6" max="6"/>
    <col width="19.01" customWidth="1" style="37" min="7" max="7"/>
    <col width="14.01" customWidth="1" style="37" min="8" max="9"/>
    <col width="16" customWidth="1" style="38" min="9" max="9"/>
    <col width="11" customWidth="1" style="37" min="10" max="10"/>
    <col width="15" customWidth="1" style="37" min="11" max="11"/>
    <col width="20" customWidth="1" style="37" min="12" max="12"/>
  </cols>
  <sheetData>
    <row r="1" ht="34.5" customHeight="1" s="38">
      <c r="B1" s="39" t="inlineStr">
        <is>
          <t>Lançamentos de Atendimentos</t>
        </is>
      </c>
    </row>
    <row r="2" ht="19.5" customHeight="1" s="38">
      <c r="B2" s="40" t="inlineStr">
        <is>
          <t>SOFT Clínica de Oftalmologia  |  Período: 24/08/2026 a 02/09/2026  |  42 atendimentos  |  Valores em Reais (R$)</t>
        </is>
      </c>
    </row>
    <row r="3" ht="18" customHeight="1" s="38">
      <c r="B3" s="41" t="inlineStr">
        <is>
          <t>Base de dados do relatório: cada linha é um atendimento com data, profissional, procedimento, forma de pagamento e valor.</t>
        </is>
      </c>
    </row>
    <row r="4" ht="4.5" customHeight="1" s="38">
      <c r="B4" s="42" t="n"/>
    </row>
    <row r="5"/>
    <row r="6" ht="27.75" customHeight="1" s="38">
      <c r="B6" s="43" t="inlineStr">
        <is>
          <t xml:space="preserve">  Todos os Atendimentos do Período</t>
        </is>
      </c>
    </row>
    <row r="7" ht="30" customHeight="1" s="38">
      <c r="B7" s="44" t="inlineStr">
        <is>
          <t>Data</t>
        </is>
      </c>
      <c r="C7" s="44" t="inlineStr">
        <is>
          <t>Hora</t>
        </is>
      </c>
      <c r="D7" s="44" t="inlineStr">
        <is>
          <t>Paciente</t>
        </is>
      </c>
      <c r="E7" s="44" t="inlineStr">
        <is>
          <t>Médico</t>
        </is>
      </c>
      <c r="F7" s="44" t="inlineStr">
        <is>
          <t>Procedimento</t>
        </is>
      </c>
      <c r="G7" s="44" t="inlineStr">
        <is>
          <t>Forma de pagamento</t>
        </is>
      </c>
      <c r="H7" s="44" t="inlineStr">
        <is>
          <t>Bandeira</t>
        </is>
      </c>
      <c r="I7" s="44" t="inlineStr">
        <is>
          <t>Crédito/Débito</t>
        </is>
      </c>
      <c r="J7" s="44" t="inlineStr">
        <is>
          <t>Parcelas</t>
        </is>
      </c>
      <c r="K7" s="44" t="inlineStr">
        <is>
          <t>Valor (R$)</t>
        </is>
      </c>
      <c r="L7" s="44" t="inlineStr">
        <is>
          <t>Forma detalhada</t>
        </is>
      </c>
    </row>
    <row r="8" ht="19.5" customHeight="1" s="38">
      <c r="B8" s="68" t="n">
        <v>46258</v>
      </c>
      <c r="C8" s="63" t="inlineStr">
        <is>
          <t>08:15</t>
        </is>
      </c>
      <c r="D8" s="66" t="inlineStr">
        <is>
          <t>Mariana Alves de Souza</t>
        </is>
      </c>
      <c r="E8" s="66" t="inlineStr">
        <is>
          <t>Nedy Neves</t>
        </is>
      </c>
      <c r="F8" s="66" t="inlineStr">
        <is>
          <t>Consulta Particular</t>
        </is>
      </c>
      <c r="G8" s="66" t="inlineStr">
        <is>
          <t>Pix</t>
        </is>
      </c>
      <c r="H8" s="63" t="inlineStr">
        <is>
          <t>-</t>
        </is>
      </c>
      <c r="I8" s="63" t="inlineStr">
        <is>
          <t>-</t>
        </is>
      </c>
      <c r="J8" s="63" t="inlineStr">
        <is>
          <t>-</t>
        </is>
      </c>
      <c r="K8" s="48" t="n">
        <v>250</v>
      </c>
      <c r="L8" s="69">
        <f>IF($G8="Cartão",$G8&amp;" "&amp;$I8,$G8)</f>
        <v/>
      </c>
    </row>
    <row r="9" ht="19.5" customHeight="1" s="38">
      <c r="B9" s="70" t="n">
        <v>46258</v>
      </c>
      <c r="C9" s="65" t="inlineStr">
        <is>
          <t>09:00</t>
        </is>
      </c>
      <c r="D9" s="67" t="inlineStr">
        <is>
          <t>José Ricardo Pinto</t>
        </is>
      </c>
      <c r="E9" s="67" t="inlineStr">
        <is>
          <t>Marcela Souza</t>
        </is>
      </c>
      <c r="F9" s="67" t="inlineStr">
        <is>
          <t>Lente de Contato</t>
        </is>
      </c>
      <c r="G9" s="67" t="inlineStr">
        <is>
          <t>Cartão</t>
        </is>
      </c>
      <c r="H9" s="65" t="inlineStr">
        <is>
          <t>Visa</t>
        </is>
      </c>
      <c r="I9" s="65" t="inlineStr">
        <is>
          <t>Crédito</t>
        </is>
      </c>
      <c r="J9" s="65" t="inlineStr">
        <is>
          <t>3x</t>
        </is>
      </c>
      <c r="K9" s="54" t="n">
        <v>650</v>
      </c>
      <c r="L9" s="71">
        <f>IF($G9="Cartão",$G9&amp;" "&amp;$I9,$G9)</f>
        <v/>
      </c>
    </row>
    <row r="10" ht="19.5" customHeight="1" s="38">
      <c r="B10" s="68" t="n">
        <v>46258</v>
      </c>
      <c r="C10" s="63" t="inlineStr">
        <is>
          <t>09:40</t>
        </is>
      </c>
      <c r="D10" s="66" t="inlineStr">
        <is>
          <t>Letícia Campos</t>
        </is>
      </c>
      <c r="E10" s="66" t="inlineStr">
        <is>
          <t>Villane Dias</t>
        </is>
      </c>
      <c r="F10" s="66" t="inlineStr">
        <is>
          <t>Teste Ortóptico</t>
        </is>
      </c>
      <c r="G10" s="66" t="inlineStr">
        <is>
          <t>Dinheiro</t>
        </is>
      </c>
      <c r="H10" s="63" t="inlineStr">
        <is>
          <t>-</t>
        </is>
      </c>
      <c r="I10" s="63" t="inlineStr">
        <is>
          <t>-</t>
        </is>
      </c>
      <c r="J10" s="63" t="inlineStr">
        <is>
          <t>-</t>
        </is>
      </c>
      <c r="K10" s="48" t="n">
        <v>95</v>
      </c>
      <c r="L10" s="69">
        <f>IF($G10="Cartão",$G10&amp;" "&amp;$I10,$G10)</f>
        <v/>
      </c>
    </row>
    <row r="11" ht="19.5" customHeight="1" s="38">
      <c r="B11" s="70" t="n">
        <v>46258</v>
      </c>
      <c r="C11" s="65" t="inlineStr">
        <is>
          <t>10:20</t>
        </is>
      </c>
      <c r="D11" s="67" t="inlineStr">
        <is>
          <t>Paulo Henrique Braga</t>
        </is>
      </c>
      <c r="E11" s="67" t="inlineStr">
        <is>
          <t>Juliana</t>
        </is>
      </c>
      <c r="F11" s="67" t="inlineStr">
        <is>
          <t>Exames</t>
        </is>
      </c>
      <c r="G11" s="67" t="inlineStr">
        <is>
          <t>Cartão</t>
        </is>
      </c>
      <c r="H11" s="65" t="inlineStr">
        <is>
          <t>Elo</t>
        </is>
      </c>
      <c r="I11" s="65" t="inlineStr">
        <is>
          <t>Débito</t>
        </is>
      </c>
      <c r="J11" s="65" t="inlineStr">
        <is>
          <t>1x</t>
        </is>
      </c>
      <c r="K11" s="54" t="n">
        <v>310</v>
      </c>
      <c r="L11" s="71">
        <f>IF($G11="Cartão",$G11&amp;" "&amp;$I11,$G11)</f>
        <v/>
      </c>
    </row>
    <row r="12" ht="19.5" customHeight="1" s="38">
      <c r="B12" s="68" t="n">
        <v>46258</v>
      </c>
      <c r="C12" s="63" t="inlineStr">
        <is>
          <t>14:00</t>
        </is>
      </c>
      <c r="D12" s="66" t="inlineStr">
        <is>
          <t>Ana Carolina Freitas</t>
        </is>
      </c>
      <c r="E12" s="66" t="inlineStr">
        <is>
          <t>Nedy Neves</t>
        </is>
      </c>
      <c r="F12" s="66" t="inlineStr">
        <is>
          <t>Consulta Particular</t>
        </is>
      </c>
      <c r="G12" s="66" t="inlineStr">
        <is>
          <t>Cartão</t>
        </is>
      </c>
      <c r="H12" s="63" t="inlineStr">
        <is>
          <t>Mastercard</t>
        </is>
      </c>
      <c r="I12" s="63" t="inlineStr">
        <is>
          <t>Crédito</t>
        </is>
      </c>
      <c r="J12" s="63" t="inlineStr">
        <is>
          <t>2x</t>
        </is>
      </c>
      <c r="K12" s="48" t="n">
        <v>250</v>
      </c>
      <c r="L12" s="69">
        <f>IF($G12="Cartão",$G12&amp;" "&amp;$I12,$G12)</f>
        <v/>
      </c>
    </row>
    <row r="13" ht="19.5" customHeight="1" s="38">
      <c r="B13" s="70" t="n">
        <v>46259</v>
      </c>
      <c r="C13" s="65" t="inlineStr">
        <is>
          <t>08:20</t>
        </is>
      </c>
      <c r="D13" s="67" t="inlineStr">
        <is>
          <t>Roberto Menezes Lima</t>
        </is>
      </c>
      <c r="E13" s="67" t="inlineStr">
        <is>
          <t>Villane Dias</t>
        </is>
      </c>
      <c r="F13" s="67" t="inlineStr">
        <is>
          <t>Teste Ortóptico</t>
        </is>
      </c>
      <c r="G13" s="67" t="inlineStr">
        <is>
          <t>Pix</t>
        </is>
      </c>
      <c r="H13" s="65" t="inlineStr">
        <is>
          <t>-</t>
        </is>
      </c>
      <c r="I13" s="65" t="inlineStr">
        <is>
          <t>-</t>
        </is>
      </c>
      <c r="J13" s="65" t="inlineStr">
        <is>
          <t>-</t>
        </is>
      </c>
      <c r="K13" s="54" t="n">
        <v>95</v>
      </c>
      <c r="L13" s="71">
        <f>IF($G13="Cartão",$G13&amp;" "&amp;$I13,$G13)</f>
        <v/>
      </c>
    </row>
    <row r="14" ht="19.5" customHeight="1" s="38">
      <c r="B14" s="68" t="n">
        <v>46259</v>
      </c>
      <c r="C14" s="63" t="inlineStr">
        <is>
          <t>09:10</t>
        </is>
      </c>
      <c r="D14" s="66" t="inlineStr">
        <is>
          <t>Fernanda Duarte</t>
        </is>
      </c>
      <c r="E14" s="66" t="inlineStr">
        <is>
          <t>Marcela Souza</t>
        </is>
      </c>
      <c r="F14" s="66" t="inlineStr">
        <is>
          <t>Lente de Contato</t>
        </is>
      </c>
      <c r="G14" s="66" t="inlineStr">
        <is>
          <t>Dinheiro</t>
        </is>
      </c>
      <c r="H14" s="63" t="inlineStr">
        <is>
          <t>-</t>
        </is>
      </c>
      <c r="I14" s="63" t="inlineStr">
        <is>
          <t>-</t>
        </is>
      </c>
      <c r="J14" s="63" t="inlineStr">
        <is>
          <t>-</t>
        </is>
      </c>
      <c r="K14" s="48" t="n">
        <v>480</v>
      </c>
      <c r="L14" s="69">
        <f>IF($G14="Cartão",$G14&amp;" "&amp;$I14,$G14)</f>
        <v/>
      </c>
    </row>
    <row r="15" ht="19.5" customHeight="1" s="38">
      <c r="B15" s="70" t="n">
        <v>46259</v>
      </c>
      <c r="C15" s="65" t="inlineStr">
        <is>
          <t>10:00</t>
        </is>
      </c>
      <c r="D15" s="67" t="inlineStr">
        <is>
          <t>Carlos Eduardo Nunes</t>
        </is>
      </c>
      <c r="E15" s="67" t="inlineStr">
        <is>
          <t>Juliana</t>
        </is>
      </c>
      <c r="F15" s="67" t="inlineStr">
        <is>
          <t>Exames</t>
        </is>
      </c>
      <c r="G15" s="67" t="inlineStr">
        <is>
          <t>Pix</t>
        </is>
      </c>
      <c r="H15" s="65" t="inlineStr">
        <is>
          <t>-</t>
        </is>
      </c>
      <c r="I15" s="65" t="inlineStr">
        <is>
          <t>-</t>
        </is>
      </c>
      <c r="J15" s="65" t="inlineStr">
        <is>
          <t>-</t>
        </is>
      </c>
      <c r="K15" s="54" t="n">
        <v>310</v>
      </c>
      <c r="L15" s="71">
        <f>IF($G15="Cartão",$G15&amp;" "&amp;$I15,$G15)</f>
        <v/>
      </c>
    </row>
    <row r="16" ht="19.5" customHeight="1" s="38">
      <c r="B16" s="68" t="n">
        <v>46259</v>
      </c>
      <c r="C16" s="63" t="inlineStr">
        <is>
          <t>14:30</t>
        </is>
      </c>
      <c r="D16" s="66" t="inlineStr">
        <is>
          <t>Patrícia Gomes</t>
        </is>
      </c>
      <c r="E16" s="66" t="inlineStr">
        <is>
          <t>Nedy Neves</t>
        </is>
      </c>
      <c r="F16" s="66" t="inlineStr">
        <is>
          <t>Outros</t>
        </is>
      </c>
      <c r="G16" s="66" t="inlineStr">
        <is>
          <t>Cartão</t>
        </is>
      </c>
      <c r="H16" s="63" t="inlineStr">
        <is>
          <t>Elo</t>
        </is>
      </c>
      <c r="I16" s="63" t="inlineStr">
        <is>
          <t>Crédito</t>
        </is>
      </c>
      <c r="J16" s="63" t="inlineStr">
        <is>
          <t>1x</t>
        </is>
      </c>
      <c r="K16" s="48" t="n">
        <v>180</v>
      </c>
      <c r="L16" s="69">
        <f>IF($G16="Cartão",$G16&amp;" "&amp;$I16,$G16)</f>
        <v/>
      </c>
    </row>
    <row r="17" ht="19.5" customHeight="1" s="38">
      <c r="B17" s="70" t="n">
        <v>46259</v>
      </c>
      <c r="C17" s="65" t="inlineStr">
        <is>
          <t>15:10</t>
        </is>
      </c>
      <c r="D17" s="67" t="inlineStr">
        <is>
          <t>Eduardo Sampaio</t>
        </is>
      </c>
      <c r="E17" s="67" t="inlineStr">
        <is>
          <t>Villane Dias</t>
        </is>
      </c>
      <c r="F17" s="67" t="inlineStr">
        <is>
          <t>Consulta Particular</t>
        </is>
      </c>
      <c r="G17" s="67" t="inlineStr">
        <is>
          <t>Cartão</t>
        </is>
      </c>
      <c r="H17" s="65" t="inlineStr">
        <is>
          <t>Visa</t>
        </is>
      </c>
      <c r="I17" s="65" t="inlineStr">
        <is>
          <t>Débito</t>
        </is>
      </c>
      <c r="J17" s="65" t="inlineStr">
        <is>
          <t>1x</t>
        </is>
      </c>
      <c r="K17" s="54" t="n">
        <v>250</v>
      </c>
      <c r="L17" s="71">
        <f>IF($G17="Cartão",$G17&amp;" "&amp;$I17,$G17)</f>
        <v/>
      </c>
    </row>
    <row r="18" ht="19.5" customHeight="1" s="38">
      <c r="B18" s="68" t="n">
        <v>46260</v>
      </c>
      <c r="C18" s="63" t="inlineStr">
        <is>
          <t>08:30</t>
        </is>
      </c>
      <c r="D18" s="66" t="inlineStr">
        <is>
          <t>Juliana Martins Reis</t>
        </is>
      </c>
      <c r="E18" s="66" t="inlineStr">
        <is>
          <t>Marcela Souza</t>
        </is>
      </c>
      <c r="F18" s="66" t="inlineStr">
        <is>
          <t>Exames</t>
        </is>
      </c>
      <c r="G18" s="66" t="inlineStr">
        <is>
          <t>Dinheiro</t>
        </is>
      </c>
      <c r="H18" s="63" t="inlineStr">
        <is>
          <t>-</t>
        </is>
      </c>
      <c r="I18" s="63" t="inlineStr">
        <is>
          <t>-</t>
        </is>
      </c>
      <c r="J18" s="63" t="inlineStr">
        <is>
          <t>-</t>
        </is>
      </c>
      <c r="K18" s="48" t="n">
        <v>310</v>
      </c>
      <c r="L18" s="69">
        <f>IF($G18="Cartão",$G18&amp;" "&amp;$I18,$G18)</f>
        <v/>
      </c>
    </row>
    <row r="19" ht="19.5" customHeight="1" s="38">
      <c r="B19" s="70" t="n">
        <v>46260</v>
      </c>
      <c r="C19" s="65" t="inlineStr">
        <is>
          <t>09:20</t>
        </is>
      </c>
      <c r="D19" s="67" t="inlineStr">
        <is>
          <t>Silvana Prado</t>
        </is>
      </c>
      <c r="E19" s="67" t="inlineStr">
        <is>
          <t>Juliana</t>
        </is>
      </c>
      <c r="F19" s="67" t="inlineStr">
        <is>
          <t>Lente de Contato</t>
        </is>
      </c>
      <c r="G19" s="67" t="inlineStr">
        <is>
          <t>Pix</t>
        </is>
      </c>
      <c r="H19" s="65" t="inlineStr">
        <is>
          <t>-</t>
        </is>
      </c>
      <c r="I19" s="65" t="inlineStr">
        <is>
          <t>-</t>
        </is>
      </c>
      <c r="J19" s="65" t="inlineStr">
        <is>
          <t>-</t>
        </is>
      </c>
      <c r="K19" s="54" t="n">
        <v>480</v>
      </c>
      <c r="L19" s="71">
        <f>IF($G19="Cartão",$G19&amp;" "&amp;$I19,$G19)</f>
        <v/>
      </c>
    </row>
    <row r="20" ht="19.5" customHeight="1" s="38">
      <c r="B20" s="68" t="n">
        <v>46260</v>
      </c>
      <c r="C20" s="63" t="inlineStr">
        <is>
          <t>10:10</t>
        </is>
      </c>
      <c r="D20" s="66" t="inlineStr">
        <is>
          <t>Marcos Vinícius Rocha</t>
        </is>
      </c>
      <c r="E20" s="66" t="inlineStr">
        <is>
          <t>Nedy Neves</t>
        </is>
      </c>
      <c r="F20" s="66" t="inlineStr">
        <is>
          <t>Consulta Particular</t>
        </is>
      </c>
      <c r="G20" s="66" t="inlineStr">
        <is>
          <t>Cartão</t>
        </is>
      </c>
      <c r="H20" s="63" t="inlineStr">
        <is>
          <t>Mastercard</t>
        </is>
      </c>
      <c r="I20" s="63" t="inlineStr">
        <is>
          <t>Crédito</t>
        </is>
      </c>
      <c r="J20" s="63" t="inlineStr">
        <is>
          <t>4x</t>
        </is>
      </c>
      <c r="K20" s="48" t="n">
        <v>250</v>
      </c>
      <c r="L20" s="69">
        <f>IF($G20="Cartão",$G20&amp;" "&amp;$I20,$G20)</f>
        <v/>
      </c>
    </row>
    <row r="21" ht="19.5" customHeight="1" s="38">
      <c r="B21" s="70" t="n">
        <v>46260</v>
      </c>
      <c r="C21" s="65" t="inlineStr">
        <is>
          <t>11:00</t>
        </is>
      </c>
      <c r="D21" s="67" t="inlineStr">
        <is>
          <t>Beatriz Lopes</t>
        </is>
      </c>
      <c r="E21" s="67" t="inlineStr">
        <is>
          <t>Villane Dias</t>
        </is>
      </c>
      <c r="F21" s="67" t="inlineStr">
        <is>
          <t>Teste Ortóptico</t>
        </is>
      </c>
      <c r="G21" s="67" t="inlineStr">
        <is>
          <t>Cartão</t>
        </is>
      </c>
      <c r="H21" s="65" t="inlineStr">
        <is>
          <t>Visa</t>
        </is>
      </c>
      <c r="I21" s="65" t="inlineStr">
        <is>
          <t>Débito</t>
        </is>
      </c>
      <c r="J21" s="65" t="inlineStr">
        <is>
          <t>1x</t>
        </is>
      </c>
      <c r="K21" s="54" t="n">
        <v>95</v>
      </c>
      <c r="L21" s="71">
        <f>IF($G21="Cartão",$G21&amp;" "&amp;$I21,$G21)</f>
        <v/>
      </c>
    </row>
    <row r="22" ht="19.5" customHeight="1" s="38">
      <c r="B22" s="68" t="n">
        <v>46260</v>
      </c>
      <c r="C22" s="63" t="inlineStr">
        <is>
          <t>15:00</t>
        </is>
      </c>
      <c r="D22" s="66" t="inlineStr">
        <is>
          <t>Rogério Tavares</t>
        </is>
      </c>
      <c r="E22" s="66" t="inlineStr">
        <is>
          <t>Juliana</t>
        </is>
      </c>
      <c r="F22" s="66" t="inlineStr">
        <is>
          <t>Exames</t>
        </is>
      </c>
      <c r="G22" s="66" t="inlineStr">
        <is>
          <t>Pix</t>
        </is>
      </c>
      <c r="H22" s="63" t="inlineStr">
        <is>
          <t>-</t>
        </is>
      </c>
      <c r="I22" s="63" t="inlineStr">
        <is>
          <t>-</t>
        </is>
      </c>
      <c r="J22" s="63" t="inlineStr">
        <is>
          <t>-</t>
        </is>
      </c>
      <c r="K22" s="48" t="n">
        <v>310</v>
      </c>
      <c r="L22" s="69">
        <f>IF($G22="Cartão",$G22&amp;" "&amp;$I22,$G22)</f>
        <v/>
      </c>
    </row>
    <row r="23" ht="19.5" customHeight="1" s="38">
      <c r="B23" s="70" t="n">
        <v>46261</v>
      </c>
      <c r="C23" s="65" t="inlineStr">
        <is>
          <t>08:15</t>
        </is>
      </c>
      <c r="D23" s="67" t="inlineStr">
        <is>
          <t>Cláudia Bezerra</t>
        </is>
      </c>
      <c r="E23" s="67" t="inlineStr">
        <is>
          <t>Nedy Neves</t>
        </is>
      </c>
      <c r="F23" s="67" t="inlineStr">
        <is>
          <t>Consulta Particular</t>
        </is>
      </c>
      <c r="G23" s="67" t="inlineStr">
        <is>
          <t>Dinheiro</t>
        </is>
      </c>
      <c r="H23" s="65" t="inlineStr">
        <is>
          <t>-</t>
        </is>
      </c>
      <c r="I23" s="65" t="inlineStr">
        <is>
          <t>-</t>
        </is>
      </c>
      <c r="J23" s="65" t="inlineStr">
        <is>
          <t>-</t>
        </is>
      </c>
      <c r="K23" s="54" t="n">
        <v>250</v>
      </c>
      <c r="L23" s="71">
        <f>IF($G23="Cartão",$G23&amp;" "&amp;$I23,$G23)</f>
        <v/>
      </c>
    </row>
    <row r="24" ht="19.5" customHeight="1" s="38">
      <c r="B24" s="68" t="n">
        <v>46261</v>
      </c>
      <c r="C24" s="63" t="inlineStr">
        <is>
          <t>09:05</t>
        </is>
      </c>
      <c r="D24" s="66" t="inlineStr">
        <is>
          <t>Antônio Carlos Melo</t>
        </is>
      </c>
      <c r="E24" s="66" t="inlineStr">
        <is>
          <t>Marcela Souza</t>
        </is>
      </c>
      <c r="F24" s="66" t="inlineStr">
        <is>
          <t>Lente de Contato</t>
        </is>
      </c>
      <c r="G24" s="66" t="inlineStr">
        <is>
          <t>Cartão</t>
        </is>
      </c>
      <c r="H24" s="63" t="inlineStr">
        <is>
          <t>Elo</t>
        </is>
      </c>
      <c r="I24" s="63" t="inlineStr">
        <is>
          <t>Crédito</t>
        </is>
      </c>
      <c r="J24" s="63" t="inlineStr">
        <is>
          <t>6x</t>
        </is>
      </c>
      <c r="K24" s="48" t="n">
        <v>650</v>
      </c>
      <c r="L24" s="69">
        <f>IF($G24="Cartão",$G24&amp;" "&amp;$I24,$G24)</f>
        <v/>
      </c>
    </row>
    <row r="25" ht="19.5" customHeight="1" s="38">
      <c r="B25" s="70" t="n">
        <v>46261</v>
      </c>
      <c r="C25" s="65" t="inlineStr">
        <is>
          <t>10:30</t>
        </is>
      </c>
      <c r="D25" s="67" t="inlineStr">
        <is>
          <t>Vanessa Ribeiro</t>
        </is>
      </c>
      <c r="E25" s="67" t="inlineStr">
        <is>
          <t>Villane Dias</t>
        </is>
      </c>
      <c r="F25" s="67" t="inlineStr">
        <is>
          <t>Outros</t>
        </is>
      </c>
      <c r="G25" s="67" t="inlineStr">
        <is>
          <t>Pix</t>
        </is>
      </c>
      <c r="H25" s="65" t="inlineStr">
        <is>
          <t>-</t>
        </is>
      </c>
      <c r="I25" s="65" t="inlineStr">
        <is>
          <t>-</t>
        </is>
      </c>
      <c r="J25" s="65" t="inlineStr">
        <is>
          <t>-</t>
        </is>
      </c>
      <c r="K25" s="54" t="n">
        <v>180</v>
      </c>
      <c r="L25" s="71">
        <f>IF($G25="Cartão",$G25&amp;" "&amp;$I25,$G25)</f>
        <v/>
      </c>
    </row>
    <row r="26" ht="19.5" customHeight="1" s="38">
      <c r="B26" s="68" t="n">
        <v>46261</v>
      </c>
      <c r="C26" s="63" t="inlineStr">
        <is>
          <t>14:20</t>
        </is>
      </c>
      <c r="D26" s="66" t="inlineStr">
        <is>
          <t>Diego Fontes</t>
        </is>
      </c>
      <c r="E26" s="66" t="inlineStr">
        <is>
          <t>Juliana</t>
        </is>
      </c>
      <c r="F26" s="66" t="inlineStr">
        <is>
          <t>Exames</t>
        </is>
      </c>
      <c r="G26" s="66" t="inlineStr">
        <is>
          <t>Cartão</t>
        </is>
      </c>
      <c r="H26" s="63" t="inlineStr">
        <is>
          <t>Visa</t>
        </is>
      </c>
      <c r="I26" s="63" t="inlineStr">
        <is>
          <t>Débito</t>
        </is>
      </c>
      <c r="J26" s="63" t="inlineStr">
        <is>
          <t>1x</t>
        </is>
      </c>
      <c r="K26" s="48" t="n">
        <v>310</v>
      </c>
      <c r="L26" s="69">
        <f>IF($G26="Cartão",$G26&amp;" "&amp;$I26,$G26)</f>
        <v/>
      </c>
    </row>
    <row r="27" ht="19.5" customHeight="1" s="38">
      <c r="B27" s="70" t="n">
        <v>46261</v>
      </c>
      <c r="C27" s="65" t="inlineStr">
        <is>
          <t>15:40</t>
        </is>
      </c>
      <c r="D27" s="67" t="inlineStr">
        <is>
          <t>Marta Siqueira</t>
        </is>
      </c>
      <c r="E27" s="67" t="inlineStr">
        <is>
          <t>Nedy Neves</t>
        </is>
      </c>
      <c r="F27" s="67" t="inlineStr">
        <is>
          <t>Consulta Particular</t>
        </is>
      </c>
      <c r="G27" s="67" t="inlineStr">
        <is>
          <t>Pix</t>
        </is>
      </c>
      <c r="H27" s="65" t="inlineStr">
        <is>
          <t>-</t>
        </is>
      </c>
      <c r="I27" s="65" t="inlineStr">
        <is>
          <t>-</t>
        </is>
      </c>
      <c r="J27" s="65" t="inlineStr">
        <is>
          <t>-</t>
        </is>
      </c>
      <c r="K27" s="54" t="n">
        <v>250</v>
      </c>
      <c r="L27" s="71">
        <f>IF($G27="Cartão",$G27&amp;" "&amp;$I27,$G27)</f>
        <v/>
      </c>
    </row>
    <row r="28" ht="19.5" customHeight="1" s="38">
      <c r="B28" s="68" t="n">
        <v>46262</v>
      </c>
      <c r="C28" s="63" t="inlineStr">
        <is>
          <t>08:25</t>
        </is>
      </c>
      <c r="D28" s="66" t="inlineStr">
        <is>
          <t>Rafael Andrade</t>
        </is>
      </c>
      <c r="E28" s="66" t="inlineStr">
        <is>
          <t>Marcela Souza</t>
        </is>
      </c>
      <c r="F28" s="66" t="inlineStr">
        <is>
          <t>Exames</t>
        </is>
      </c>
      <c r="G28" s="66" t="inlineStr">
        <is>
          <t>Cartão</t>
        </is>
      </c>
      <c r="H28" s="63" t="inlineStr">
        <is>
          <t>Mastercard</t>
        </is>
      </c>
      <c r="I28" s="63" t="inlineStr">
        <is>
          <t>Débito</t>
        </is>
      </c>
      <c r="J28" s="63" t="inlineStr">
        <is>
          <t>1x</t>
        </is>
      </c>
      <c r="K28" s="48" t="n">
        <v>310</v>
      </c>
      <c r="L28" s="69">
        <f>IF($G28="Cartão",$G28&amp;" "&amp;$I28,$G28)</f>
        <v/>
      </c>
    </row>
    <row r="29" ht="19.5" customHeight="1" s="38">
      <c r="B29" s="70" t="n">
        <v>46262</v>
      </c>
      <c r="C29" s="65" t="inlineStr">
        <is>
          <t>09:15</t>
        </is>
      </c>
      <c r="D29" s="67" t="inlineStr">
        <is>
          <t>Luciana Peixoto</t>
        </is>
      </c>
      <c r="E29" s="67" t="inlineStr">
        <is>
          <t>Villane Dias</t>
        </is>
      </c>
      <c r="F29" s="67" t="inlineStr">
        <is>
          <t>Teste Ortóptico</t>
        </is>
      </c>
      <c r="G29" s="67" t="inlineStr">
        <is>
          <t>Dinheiro</t>
        </is>
      </c>
      <c r="H29" s="65" t="inlineStr">
        <is>
          <t>-</t>
        </is>
      </c>
      <c r="I29" s="65" t="inlineStr">
        <is>
          <t>-</t>
        </is>
      </c>
      <c r="J29" s="65" t="inlineStr">
        <is>
          <t>-</t>
        </is>
      </c>
      <c r="K29" s="54" t="n">
        <v>95</v>
      </c>
      <c r="L29" s="71">
        <f>IF($G29="Cartão",$G29&amp;" "&amp;$I29,$G29)</f>
        <v/>
      </c>
    </row>
    <row r="30" ht="19.5" customHeight="1" s="38">
      <c r="B30" s="68" t="n">
        <v>46262</v>
      </c>
      <c r="C30" s="63" t="inlineStr">
        <is>
          <t>10:05</t>
        </is>
      </c>
      <c r="D30" s="66" t="inlineStr">
        <is>
          <t>Gustavo Ferraz</t>
        </is>
      </c>
      <c r="E30" s="66" t="inlineStr">
        <is>
          <t>Juliana</t>
        </is>
      </c>
      <c r="F30" s="66" t="inlineStr">
        <is>
          <t>Lente de Contato</t>
        </is>
      </c>
      <c r="G30" s="66" t="inlineStr">
        <is>
          <t>Cartão</t>
        </is>
      </c>
      <c r="H30" s="63" t="inlineStr">
        <is>
          <t>Visa</t>
        </is>
      </c>
      <c r="I30" s="63" t="inlineStr">
        <is>
          <t>Crédito</t>
        </is>
      </c>
      <c r="J30" s="63" t="inlineStr">
        <is>
          <t>3x</t>
        </is>
      </c>
      <c r="K30" s="48" t="n">
        <v>480</v>
      </c>
      <c r="L30" s="69">
        <f>IF($G30="Cartão",$G30&amp;" "&amp;$I30,$G30)</f>
        <v/>
      </c>
    </row>
    <row r="31" ht="19.5" customHeight="1" s="38">
      <c r="B31" s="70" t="n">
        <v>46262</v>
      </c>
      <c r="C31" s="65" t="inlineStr">
        <is>
          <t>11:10</t>
        </is>
      </c>
      <c r="D31" s="67" t="inlineStr">
        <is>
          <t>Simone Aguiar</t>
        </is>
      </c>
      <c r="E31" s="67" t="inlineStr">
        <is>
          <t>Nedy Neves</t>
        </is>
      </c>
      <c r="F31" s="67" t="inlineStr">
        <is>
          <t>Consulta Particular</t>
        </is>
      </c>
      <c r="G31" s="67" t="inlineStr">
        <is>
          <t>Pix</t>
        </is>
      </c>
      <c r="H31" s="65" t="inlineStr">
        <is>
          <t>-</t>
        </is>
      </c>
      <c r="I31" s="65" t="inlineStr">
        <is>
          <t>-</t>
        </is>
      </c>
      <c r="J31" s="65" t="inlineStr">
        <is>
          <t>-</t>
        </is>
      </c>
      <c r="K31" s="54" t="n">
        <v>250</v>
      </c>
      <c r="L31" s="71">
        <f>IF($G31="Cartão",$G31&amp;" "&amp;$I31,$G31)</f>
        <v/>
      </c>
    </row>
    <row r="32" ht="19.5" customHeight="1" s="38">
      <c r="B32" s="68" t="n">
        <v>46262</v>
      </c>
      <c r="C32" s="63" t="inlineStr">
        <is>
          <t>14:45</t>
        </is>
      </c>
      <c r="D32" s="66" t="inlineStr">
        <is>
          <t>Henrique Salles</t>
        </is>
      </c>
      <c r="E32" s="66" t="inlineStr">
        <is>
          <t>Marcela Souza</t>
        </is>
      </c>
      <c r="F32" s="66" t="inlineStr">
        <is>
          <t>Outros</t>
        </is>
      </c>
      <c r="G32" s="66" t="inlineStr">
        <is>
          <t>Dinheiro</t>
        </is>
      </c>
      <c r="H32" s="63" t="inlineStr">
        <is>
          <t>-</t>
        </is>
      </c>
      <c r="I32" s="63" t="inlineStr">
        <is>
          <t>-</t>
        </is>
      </c>
      <c r="J32" s="63" t="inlineStr">
        <is>
          <t>-</t>
        </is>
      </c>
      <c r="K32" s="48" t="n">
        <v>180</v>
      </c>
      <c r="L32" s="69">
        <f>IF($G32="Cartão",$G32&amp;" "&amp;$I32,$G32)</f>
        <v/>
      </c>
    </row>
    <row r="33" ht="19.5" customHeight="1" s="38">
      <c r="B33" s="70" t="n">
        <v>46262</v>
      </c>
      <c r="C33" s="65" t="inlineStr">
        <is>
          <t>16:00</t>
        </is>
      </c>
      <c r="D33" s="67" t="inlineStr">
        <is>
          <t>Renata Coelho</t>
        </is>
      </c>
      <c r="E33" s="67" t="inlineStr">
        <is>
          <t>Villane Dias</t>
        </is>
      </c>
      <c r="F33" s="67" t="inlineStr">
        <is>
          <t>Exames</t>
        </is>
      </c>
      <c r="G33" s="67" t="inlineStr">
        <is>
          <t>Cartão</t>
        </is>
      </c>
      <c r="H33" s="65" t="inlineStr">
        <is>
          <t>Elo</t>
        </is>
      </c>
      <c r="I33" s="65" t="inlineStr">
        <is>
          <t>Crédito</t>
        </is>
      </c>
      <c r="J33" s="65" t="inlineStr">
        <is>
          <t>2x</t>
        </is>
      </c>
      <c r="K33" s="54" t="n">
        <v>310</v>
      </c>
      <c r="L33" s="71">
        <f>IF($G33="Cartão",$G33&amp;" "&amp;$I33,$G33)</f>
        <v/>
      </c>
    </row>
    <row r="34" ht="19.5" customHeight="1" s="38">
      <c r="B34" s="68" t="n">
        <v>46265</v>
      </c>
      <c r="C34" s="63" t="inlineStr">
        <is>
          <t>08:10</t>
        </is>
      </c>
      <c r="D34" s="66" t="inlineStr">
        <is>
          <t>Tatiane Moraes</t>
        </is>
      </c>
      <c r="E34" s="66" t="inlineStr">
        <is>
          <t>Juliana</t>
        </is>
      </c>
      <c r="F34" s="66" t="inlineStr">
        <is>
          <t>Consulta Particular</t>
        </is>
      </c>
      <c r="G34" s="66" t="inlineStr">
        <is>
          <t>Pix</t>
        </is>
      </c>
      <c r="H34" s="63" t="inlineStr">
        <is>
          <t>-</t>
        </is>
      </c>
      <c r="I34" s="63" t="inlineStr">
        <is>
          <t>-</t>
        </is>
      </c>
      <c r="J34" s="63" t="inlineStr">
        <is>
          <t>-</t>
        </is>
      </c>
      <c r="K34" s="48" t="n">
        <v>250</v>
      </c>
      <c r="L34" s="69">
        <f>IF($G34="Cartão",$G34&amp;" "&amp;$I34,$G34)</f>
        <v/>
      </c>
    </row>
    <row r="35" ht="19.5" customHeight="1" s="38">
      <c r="B35" s="70" t="n">
        <v>46265</v>
      </c>
      <c r="C35" s="65" t="inlineStr">
        <is>
          <t>09:00</t>
        </is>
      </c>
      <c r="D35" s="67" t="inlineStr">
        <is>
          <t>Wagner Lopes</t>
        </is>
      </c>
      <c r="E35" s="67" t="inlineStr">
        <is>
          <t>Nedy Neves</t>
        </is>
      </c>
      <c r="F35" s="67" t="inlineStr">
        <is>
          <t>Exames</t>
        </is>
      </c>
      <c r="G35" s="67" t="inlineStr">
        <is>
          <t>Cartão</t>
        </is>
      </c>
      <c r="H35" s="65" t="inlineStr">
        <is>
          <t>Visa</t>
        </is>
      </c>
      <c r="I35" s="65" t="inlineStr">
        <is>
          <t>Crédito</t>
        </is>
      </c>
      <c r="J35" s="65" t="inlineStr">
        <is>
          <t>5x</t>
        </is>
      </c>
      <c r="K35" s="54" t="n">
        <v>310</v>
      </c>
      <c r="L35" s="71">
        <f>IF($G35="Cartão",$G35&amp;" "&amp;$I35,$G35)</f>
        <v/>
      </c>
    </row>
    <row r="36" ht="19.5" customHeight="1" s="38">
      <c r="B36" s="68" t="n">
        <v>46265</v>
      </c>
      <c r="C36" s="63" t="inlineStr">
        <is>
          <t>10:15</t>
        </is>
      </c>
      <c r="D36" s="66" t="inlineStr">
        <is>
          <t>Adriana Nogueira</t>
        </is>
      </c>
      <c r="E36" s="66" t="inlineStr">
        <is>
          <t>Marcela Souza</t>
        </is>
      </c>
      <c r="F36" s="66" t="inlineStr">
        <is>
          <t>Lente de Contato</t>
        </is>
      </c>
      <c r="G36" s="66" t="inlineStr">
        <is>
          <t>Dinheiro</t>
        </is>
      </c>
      <c r="H36" s="63" t="inlineStr">
        <is>
          <t>-</t>
        </is>
      </c>
      <c r="I36" s="63" t="inlineStr">
        <is>
          <t>-</t>
        </is>
      </c>
      <c r="J36" s="63" t="inlineStr">
        <is>
          <t>-</t>
        </is>
      </c>
      <c r="K36" s="48" t="n">
        <v>480</v>
      </c>
      <c r="L36" s="69">
        <f>IF($G36="Cartão",$G36&amp;" "&amp;$I36,$G36)</f>
        <v/>
      </c>
    </row>
    <row r="37" ht="19.5" customHeight="1" s="38">
      <c r="B37" s="70" t="n">
        <v>46265</v>
      </c>
      <c r="C37" s="65" t="inlineStr">
        <is>
          <t>14:10</t>
        </is>
      </c>
      <c r="D37" s="67" t="inlineStr">
        <is>
          <t>Fábio Pontes</t>
        </is>
      </c>
      <c r="E37" s="67" t="inlineStr">
        <is>
          <t>Villane Dias</t>
        </is>
      </c>
      <c r="F37" s="67" t="inlineStr">
        <is>
          <t>Teste Ortóptico</t>
        </is>
      </c>
      <c r="G37" s="67" t="inlineStr">
        <is>
          <t>Pix</t>
        </is>
      </c>
      <c r="H37" s="65" t="inlineStr">
        <is>
          <t>-</t>
        </is>
      </c>
      <c r="I37" s="65" t="inlineStr">
        <is>
          <t>-</t>
        </is>
      </c>
      <c r="J37" s="65" t="inlineStr">
        <is>
          <t>-</t>
        </is>
      </c>
      <c r="K37" s="54" t="n">
        <v>95</v>
      </c>
      <c r="L37" s="71">
        <f>IF($G37="Cartão",$G37&amp;" "&amp;$I37,$G37)</f>
        <v/>
      </c>
    </row>
    <row r="38" ht="19.5" customHeight="1" s="38">
      <c r="B38" s="68" t="n">
        <v>46265</v>
      </c>
      <c r="C38" s="63" t="inlineStr">
        <is>
          <t>15:20</t>
        </is>
      </c>
      <c r="D38" s="66" t="inlineStr">
        <is>
          <t>Camila Braga</t>
        </is>
      </c>
      <c r="E38" s="66" t="inlineStr">
        <is>
          <t>Juliana</t>
        </is>
      </c>
      <c r="F38" s="66" t="inlineStr">
        <is>
          <t>Outros</t>
        </is>
      </c>
      <c r="G38" s="66" t="inlineStr">
        <is>
          <t>Cartão</t>
        </is>
      </c>
      <c r="H38" s="63" t="inlineStr">
        <is>
          <t>Mastercard</t>
        </is>
      </c>
      <c r="I38" s="63" t="inlineStr">
        <is>
          <t>Débito</t>
        </is>
      </c>
      <c r="J38" s="63" t="inlineStr">
        <is>
          <t>1x</t>
        </is>
      </c>
      <c r="K38" s="48" t="n">
        <v>180</v>
      </c>
      <c r="L38" s="69">
        <f>IF($G38="Cartão",$G38&amp;" "&amp;$I38,$G38)</f>
        <v/>
      </c>
    </row>
    <row r="39" ht="19.5" customHeight="1" s="38">
      <c r="B39" s="70" t="n">
        <v>46266</v>
      </c>
      <c r="C39" s="65" t="inlineStr">
        <is>
          <t>08:20</t>
        </is>
      </c>
      <c r="D39" s="67" t="inlineStr">
        <is>
          <t>Sérgio Almeida</t>
        </is>
      </c>
      <c r="E39" s="67" t="inlineStr">
        <is>
          <t>Nedy Neves</t>
        </is>
      </c>
      <c r="F39" s="67" t="inlineStr">
        <is>
          <t>Consulta Particular</t>
        </is>
      </c>
      <c r="G39" s="67" t="inlineStr">
        <is>
          <t>Cartão</t>
        </is>
      </c>
      <c r="H39" s="65" t="inlineStr">
        <is>
          <t>Elo</t>
        </is>
      </c>
      <c r="I39" s="65" t="inlineStr">
        <is>
          <t>Crédito</t>
        </is>
      </c>
      <c r="J39" s="65" t="inlineStr">
        <is>
          <t>3x</t>
        </is>
      </c>
      <c r="K39" s="54" t="n">
        <v>250</v>
      </c>
      <c r="L39" s="71">
        <f>IF($G39="Cartão",$G39&amp;" "&amp;$I39,$G39)</f>
        <v/>
      </c>
    </row>
    <row r="40" ht="19.5" customHeight="1" s="38">
      <c r="B40" s="68" t="n">
        <v>46266</v>
      </c>
      <c r="C40" s="63" t="inlineStr">
        <is>
          <t>09:10</t>
        </is>
      </c>
      <c r="D40" s="66" t="inlineStr">
        <is>
          <t>Priscila Ramos</t>
        </is>
      </c>
      <c r="E40" s="66" t="inlineStr">
        <is>
          <t>Marcela Souza</t>
        </is>
      </c>
      <c r="F40" s="66" t="inlineStr">
        <is>
          <t>Exames</t>
        </is>
      </c>
      <c r="G40" s="66" t="inlineStr">
        <is>
          <t>Pix</t>
        </is>
      </c>
      <c r="H40" s="63" t="inlineStr">
        <is>
          <t>-</t>
        </is>
      </c>
      <c r="I40" s="63" t="inlineStr">
        <is>
          <t>-</t>
        </is>
      </c>
      <c r="J40" s="63" t="inlineStr">
        <is>
          <t>-</t>
        </is>
      </c>
      <c r="K40" s="48" t="n">
        <v>310</v>
      </c>
      <c r="L40" s="69">
        <f>IF($G40="Cartão",$G40&amp;" "&amp;$I40,$G40)</f>
        <v/>
      </c>
    </row>
    <row r="41" ht="19.5" customHeight="1" s="38">
      <c r="B41" s="70" t="n">
        <v>46266</v>
      </c>
      <c r="C41" s="65" t="inlineStr">
        <is>
          <t>10:00</t>
        </is>
      </c>
      <c r="D41" s="67" t="inlineStr">
        <is>
          <t>Otávio Lins</t>
        </is>
      </c>
      <c r="E41" s="67" t="inlineStr">
        <is>
          <t>Villane Dias</t>
        </is>
      </c>
      <c r="F41" s="67" t="inlineStr">
        <is>
          <t>Lente de Contato</t>
        </is>
      </c>
      <c r="G41" s="67" t="inlineStr">
        <is>
          <t>Cartão</t>
        </is>
      </c>
      <c r="H41" s="65" t="inlineStr">
        <is>
          <t>Visa</t>
        </is>
      </c>
      <c r="I41" s="65" t="inlineStr">
        <is>
          <t>Crédito</t>
        </is>
      </c>
      <c r="J41" s="65" t="inlineStr">
        <is>
          <t>10x</t>
        </is>
      </c>
      <c r="K41" s="54" t="n">
        <v>650</v>
      </c>
      <c r="L41" s="71">
        <f>IF($G41="Cartão",$G41&amp;" "&amp;$I41,$G41)</f>
        <v/>
      </c>
    </row>
    <row r="42" ht="19.5" customHeight="1" s="38">
      <c r="B42" s="68" t="n">
        <v>46266</v>
      </c>
      <c r="C42" s="63" t="inlineStr">
        <is>
          <t>11:05</t>
        </is>
      </c>
      <c r="D42" s="66" t="inlineStr">
        <is>
          <t>Débora Castro</t>
        </is>
      </c>
      <c r="E42" s="66" t="inlineStr">
        <is>
          <t>Juliana</t>
        </is>
      </c>
      <c r="F42" s="66" t="inlineStr">
        <is>
          <t>Teste Ortóptico</t>
        </is>
      </c>
      <c r="G42" s="66" t="inlineStr">
        <is>
          <t>Dinheiro</t>
        </is>
      </c>
      <c r="H42" s="63" t="inlineStr">
        <is>
          <t>-</t>
        </is>
      </c>
      <c r="I42" s="63" t="inlineStr">
        <is>
          <t>-</t>
        </is>
      </c>
      <c r="J42" s="63" t="inlineStr">
        <is>
          <t>-</t>
        </is>
      </c>
      <c r="K42" s="48" t="n">
        <v>95</v>
      </c>
      <c r="L42" s="69">
        <f>IF($G42="Cartão",$G42&amp;" "&amp;$I42,$G42)</f>
        <v/>
      </c>
    </row>
    <row r="43" ht="19.5" customHeight="1" s="38">
      <c r="B43" s="70" t="n">
        <v>46266</v>
      </c>
      <c r="C43" s="65" t="inlineStr">
        <is>
          <t>14:50</t>
        </is>
      </c>
      <c r="D43" s="67" t="inlineStr">
        <is>
          <t>Ivan Correia</t>
        </is>
      </c>
      <c r="E43" s="67" t="inlineStr">
        <is>
          <t>Nedy Neves</t>
        </is>
      </c>
      <c r="F43" s="67" t="inlineStr">
        <is>
          <t>Exames</t>
        </is>
      </c>
      <c r="G43" s="67" t="inlineStr">
        <is>
          <t>Cartão</t>
        </is>
      </c>
      <c r="H43" s="65" t="inlineStr">
        <is>
          <t>Mastercard</t>
        </is>
      </c>
      <c r="I43" s="65" t="inlineStr">
        <is>
          <t>Débito</t>
        </is>
      </c>
      <c r="J43" s="65" t="inlineStr">
        <is>
          <t>1x</t>
        </is>
      </c>
      <c r="K43" s="54" t="n">
        <v>310</v>
      </c>
      <c r="L43" s="71">
        <f>IF($G43="Cartão",$G43&amp;" "&amp;$I43,$G43)</f>
        <v/>
      </c>
    </row>
    <row r="44" ht="19.5" customHeight="1" s="38">
      <c r="B44" s="68" t="n">
        <v>46266</v>
      </c>
      <c r="C44" s="63" t="inlineStr">
        <is>
          <t>16:10</t>
        </is>
      </c>
      <c r="D44" s="66" t="inlineStr">
        <is>
          <t>Aline Furtado</t>
        </is>
      </c>
      <c r="E44" s="66" t="inlineStr">
        <is>
          <t>Marcela Souza</t>
        </is>
      </c>
      <c r="F44" s="66" t="inlineStr">
        <is>
          <t>Consulta Particular</t>
        </is>
      </c>
      <c r="G44" s="66" t="inlineStr">
        <is>
          <t>Pix</t>
        </is>
      </c>
      <c r="H44" s="63" t="inlineStr">
        <is>
          <t>-</t>
        </is>
      </c>
      <c r="I44" s="63" t="inlineStr">
        <is>
          <t>-</t>
        </is>
      </c>
      <c r="J44" s="63" t="inlineStr">
        <is>
          <t>-</t>
        </is>
      </c>
      <c r="K44" s="48" t="n">
        <v>250</v>
      </c>
      <c r="L44" s="69">
        <f>IF($G44="Cartão",$G44&amp;" "&amp;$I44,$G44)</f>
        <v/>
      </c>
    </row>
    <row r="45" ht="19.5" customHeight="1" s="38">
      <c r="B45" s="70" t="n">
        <v>46267</v>
      </c>
      <c r="C45" s="65" t="inlineStr">
        <is>
          <t>08:15</t>
        </is>
      </c>
      <c r="D45" s="67" t="inlineStr">
        <is>
          <t>Nathália Vieira</t>
        </is>
      </c>
      <c r="E45" s="67" t="inlineStr">
        <is>
          <t>Villane Dias</t>
        </is>
      </c>
      <c r="F45" s="67" t="inlineStr">
        <is>
          <t>Consulta Particular</t>
        </is>
      </c>
      <c r="G45" s="67" t="inlineStr">
        <is>
          <t>Dinheiro</t>
        </is>
      </c>
      <c r="H45" s="65" t="inlineStr">
        <is>
          <t>-</t>
        </is>
      </c>
      <c r="I45" s="65" t="inlineStr">
        <is>
          <t>-</t>
        </is>
      </c>
      <c r="J45" s="65" t="inlineStr">
        <is>
          <t>-</t>
        </is>
      </c>
      <c r="K45" s="54" t="n">
        <v>250</v>
      </c>
      <c r="L45" s="71">
        <f>IF($G45="Cartão",$G45&amp;" "&amp;$I45,$G45)</f>
        <v/>
      </c>
    </row>
    <row r="46" ht="19.5" customHeight="1" s="38">
      <c r="B46" s="68" t="n">
        <v>46267</v>
      </c>
      <c r="C46" s="63" t="inlineStr">
        <is>
          <t>09:05</t>
        </is>
      </c>
      <c r="D46" s="66" t="inlineStr">
        <is>
          <t>Leandro Pires</t>
        </is>
      </c>
      <c r="E46" s="66" t="inlineStr">
        <is>
          <t>Juliana</t>
        </is>
      </c>
      <c r="F46" s="66" t="inlineStr">
        <is>
          <t>Exames</t>
        </is>
      </c>
      <c r="G46" s="66" t="inlineStr">
        <is>
          <t>Cartão</t>
        </is>
      </c>
      <c r="H46" s="63" t="inlineStr">
        <is>
          <t>Visa</t>
        </is>
      </c>
      <c r="I46" s="63" t="inlineStr">
        <is>
          <t>Crédito</t>
        </is>
      </c>
      <c r="J46" s="63" t="inlineStr">
        <is>
          <t>2x</t>
        </is>
      </c>
      <c r="K46" s="48" t="n">
        <v>310</v>
      </c>
      <c r="L46" s="69">
        <f>IF($G46="Cartão",$G46&amp;" "&amp;$I46,$G46)</f>
        <v/>
      </c>
    </row>
    <row r="47" ht="19.5" customHeight="1" s="38">
      <c r="B47" s="70" t="n">
        <v>46267</v>
      </c>
      <c r="C47" s="65" t="inlineStr">
        <is>
          <t>10:00</t>
        </is>
      </c>
      <c r="D47" s="67" t="inlineStr">
        <is>
          <t>Rosana Meireles</t>
        </is>
      </c>
      <c r="E47" s="67" t="inlineStr">
        <is>
          <t>Nedy Neves</t>
        </is>
      </c>
      <c r="F47" s="67" t="inlineStr">
        <is>
          <t>Lente de Contato</t>
        </is>
      </c>
      <c r="G47" s="67" t="inlineStr">
        <is>
          <t>Pix</t>
        </is>
      </c>
      <c r="H47" s="65" t="inlineStr">
        <is>
          <t>-</t>
        </is>
      </c>
      <c r="I47" s="65" t="inlineStr">
        <is>
          <t>-</t>
        </is>
      </c>
      <c r="J47" s="65" t="inlineStr">
        <is>
          <t>-</t>
        </is>
      </c>
      <c r="K47" s="54" t="n">
        <v>480</v>
      </c>
      <c r="L47" s="71">
        <f>IF($G47="Cartão",$G47&amp;" "&amp;$I47,$G47)</f>
        <v/>
      </c>
    </row>
    <row r="48" ht="19.5" customHeight="1" s="38">
      <c r="B48" s="68" t="n">
        <v>46267</v>
      </c>
      <c r="C48" s="63" t="inlineStr">
        <is>
          <t>11:00</t>
        </is>
      </c>
      <c r="D48" s="66" t="inlineStr">
        <is>
          <t>Thiago Barreto</t>
        </is>
      </c>
      <c r="E48" s="66" t="inlineStr">
        <is>
          <t>Marcela Souza</t>
        </is>
      </c>
      <c r="F48" s="66" t="inlineStr">
        <is>
          <t>Outros</t>
        </is>
      </c>
      <c r="G48" s="66" t="inlineStr">
        <is>
          <t>Cartão</t>
        </is>
      </c>
      <c r="H48" s="63" t="inlineStr">
        <is>
          <t>Elo</t>
        </is>
      </c>
      <c r="I48" s="63" t="inlineStr">
        <is>
          <t>Débito</t>
        </is>
      </c>
      <c r="J48" s="63" t="inlineStr">
        <is>
          <t>1x</t>
        </is>
      </c>
      <c r="K48" s="48" t="n">
        <v>180</v>
      </c>
      <c r="L48" s="69">
        <f>IF($G48="Cartão",$G48&amp;" "&amp;$I48,$G48)</f>
        <v/>
      </c>
    </row>
    <row r="49" ht="19.5" customHeight="1" s="38">
      <c r="B49" s="70" t="n">
        <v>46267</v>
      </c>
      <c r="C49" s="65" t="inlineStr">
        <is>
          <t>15:00</t>
        </is>
      </c>
      <c r="D49" s="67" t="inlineStr">
        <is>
          <t>Elaine Cardoso</t>
        </is>
      </c>
      <c r="E49" s="67" t="inlineStr">
        <is>
          <t>Villane Dias</t>
        </is>
      </c>
      <c r="F49" s="67" t="inlineStr">
        <is>
          <t>Teste Ortóptico</t>
        </is>
      </c>
      <c r="G49" s="67" t="inlineStr">
        <is>
          <t>Cartão</t>
        </is>
      </c>
      <c r="H49" s="65" t="inlineStr">
        <is>
          <t>Mastercard</t>
        </is>
      </c>
      <c r="I49" s="65" t="inlineStr">
        <is>
          <t>Crédito</t>
        </is>
      </c>
      <c r="J49" s="65" t="inlineStr">
        <is>
          <t>1x</t>
        </is>
      </c>
      <c r="K49" s="54" t="n">
        <v>95</v>
      </c>
      <c r="L49" s="71">
        <f>IF($G49="Cartão",$G49&amp;" "&amp;$I49,$G49)</f>
        <v/>
      </c>
    </row>
    <row r="50" ht="24" customHeight="1" s="38">
      <c r="B50" s="72" t="inlineStr">
        <is>
          <t>Total do período (42 atendimentos)</t>
        </is>
      </c>
      <c r="C50" s="73" t="n"/>
      <c r="D50" s="73" t="n"/>
      <c r="E50" s="73" t="n"/>
      <c r="F50" s="73" t="n"/>
      <c r="G50" s="73" t="n"/>
      <c r="H50" s="73" t="n"/>
      <c r="I50" s="73" t="n"/>
      <c r="J50" s="74" t="n"/>
      <c r="K50" s="59">
        <f>SUM(K8:K49)</f>
        <v/>
      </c>
      <c r="L50" s="75" t="n"/>
    </row>
    <row r="51"/>
    <row r="52" ht="15" customHeight="1" s="38">
      <c r="B52" s="61" t="inlineStr">
        <is>
          <t>Nota: a coluna "Forma detalhada" separa automaticamente cartão de crédito e cartão de débito; é ela que alimenta os cruzamentos por data e forma de pagamento.</t>
        </is>
      </c>
    </row>
  </sheetData>
  <autoFilter ref="B7:L49"/>
  <mergeCells count="6">
    <mergeCell ref="B4:L4"/>
    <mergeCell ref="B6:L6"/>
    <mergeCell ref="B3:L3"/>
    <mergeCell ref="B2:L2"/>
    <mergeCell ref="B50:J50"/>
    <mergeCell ref="B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2026-09-01T22:54:14Z</dcterms:created>
  <dcterms:modified xmlns:dcterms="http://purl.org/dc/terms/" xmlns:xsi="http://www.w3.org/2001/XMLSchema-instance" xsi:type="dcterms:W3CDTF">2026-09-01T22:54:54Z</dcterms:modified>
  <cp:revision>2</cp:revision>
</cp:coreProperties>
</file>